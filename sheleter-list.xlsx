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<sst xmlns="http://schemas.openxmlformats.org/spreadsheetml/2006/main" count="7426" uniqueCount="704">
  <si>
    <t>id</t>
  </si>
  <si>
    <t>slug</t>
  </si>
  <si>
    <t>name</t>
  </si>
  <si>
    <t>start_year</t>
  </si>
  <si>
    <t>end_year</t>
  </si>
  <si>
    <t>is_extant</t>
  </si>
  <si>
    <t>latitude</t>
  </si>
  <si>
    <t>longitude</t>
  </si>
  <si>
    <t>W3W</t>
  </si>
  <si>
    <t>architecture</t>
  </si>
  <si>
    <t>is_gmc</t>
  </si>
  <si>
    <t>notes</t>
  </si>
  <si>
    <t>aeolus-view-camp</t>
  </si>
  <si>
    <t>Aeolus View Camp</t>
  </si>
  <si>
    <t>aldrich-job-camp</t>
  </si>
  <si>
    <t>Aldrich Job Camp</t>
  </si>
  <si>
    <t>atlas-valley-shelter</t>
  </si>
  <si>
    <t>Atlas Valley Shelter</t>
  </si>
  <si>
    <t>Prefab shelter</t>
  </si>
  <si>
    <t>badger-camp</t>
  </si>
  <si>
    <t>Badger Camp</t>
  </si>
  <si>
    <t>Lumber Camp</t>
  </si>
  <si>
    <t>bamforth-ridge</t>
  </si>
  <si>
    <t>Bamforth Ridge</t>
  </si>
  <si>
    <t>Log Lean-To</t>
  </si>
  <si>
    <t>barnes-camp</t>
  </si>
  <si>
    <t>Barnes Camp</t>
  </si>
  <si>
    <t>Inn</t>
  </si>
  <si>
    <t>barrows-camp</t>
  </si>
  <si>
    <t>Barrows Camp</t>
  </si>
  <si>
    <t>Buchanan</t>
  </si>
  <si>
    <t>battell-lodge-1</t>
  </si>
  <si>
    <t>Battell Lodge 1st</t>
  </si>
  <si>
    <t>Log Cabin</t>
  </si>
  <si>
    <t>battell-lodge-2</t>
  </si>
  <si>
    <t>Battell Lodge 2nd</t>
  </si>
  <si>
    <t>battell-shelter-1</t>
  </si>
  <si>
    <t>Battell Shelter 1st</t>
  </si>
  <si>
    <t>Adirondak</t>
  </si>
  <si>
    <t>battell-shelter-2</t>
  </si>
  <si>
    <t>Battell Shelter 2nd</t>
  </si>
  <si>
    <t>Wood Frame</t>
  </si>
  <si>
    <t>beane-farm</t>
  </si>
  <si>
    <t>Beane Farm</t>
  </si>
  <si>
    <t>Private Home</t>
  </si>
  <si>
    <t>bear-hollow-shelter</t>
  </si>
  <si>
    <t>Bear Hollow Shelter</t>
  </si>
  <si>
    <t>beaver-meadow-cabin</t>
  </si>
  <si>
    <t>Beaver Meadow Cabin</t>
  </si>
  <si>
    <t>On Monroe Skyline near Mollys Starks Balcony, shown on Monroe Skyline Map at GMCHQ</t>
  </si>
  <si>
    <t>beaver-meadow-lodge</t>
  </si>
  <si>
    <t>Beaver Meadow Lodge</t>
  </si>
  <si>
    <t>belvidere-mountain-foresters-cabin</t>
  </si>
  <si>
    <t>Belvidere Mountain Foresters Cabin</t>
  </si>
  <si>
    <t>big-branch-shelter</t>
  </si>
  <si>
    <t>Big Branch Shelter</t>
  </si>
  <si>
    <t>bigelow-shelter</t>
  </si>
  <si>
    <t>Bigelow Shelter</t>
  </si>
  <si>
    <t>birch-glen-camp</t>
  </si>
  <si>
    <t>Birch Glen Camp</t>
  </si>
  <si>
    <t>birch-glen-lodge</t>
  </si>
  <si>
    <t>Birch Glen Lodge</t>
  </si>
  <si>
    <t>blowdown-camp</t>
  </si>
  <si>
    <t>Blowdown Camp</t>
  </si>
  <si>
    <t>Loggers</t>
  </si>
  <si>
    <t>blue-triangle-camp</t>
  </si>
  <si>
    <t>Blue Triangle Camp</t>
  </si>
  <si>
    <t>YMCA Canp</t>
  </si>
  <si>
    <t>bolton-lodge</t>
  </si>
  <si>
    <t>Bolton Lodge</t>
  </si>
  <si>
    <t>Stone</t>
  </si>
  <si>
    <t>bourn-pond-camp</t>
  </si>
  <si>
    <t>Bourn Pond Camp</t>
  </si>
  <si>
    <t xml:space="preserve"> </t>
  </si>
  <si>
    <t>bourn-pond-shelter-north</t>
  </si>
  <si>
    <t>North Bourn Pond Shelter</t>
  </si>
  <si>
    <t>Wooden Frame Shelter</t>
  </si>
  <si>
    <t>NBP Tenting area replaced shelter until 2011 GB</t>
  </si>
  <si>
    <t>bourn-pond-shelter-south</t>
  </si>
  <si>
    <t>South Bourn Pond Shelter</t>
  </si>
  <si>
    <t>Log Shelter</t>
  </si>
  <si>
    <t>Reconstructed from  log fishing camps by Putney Summer Work Camp</t>
  </si>
  <si>
    <t>bourn-pond-tenting-areas</t>
  </si>
  <si>
    <t>Bourn Pond Tenting Areas</t>
  </si>
  <si>
    <t>Tenting Area</t>
  </si>
  <si>
    <t>boyce-shelter-1</t>
  </si>
  <si>
    <t>Boyce Shelter 1st</t>
  </si>
  <si>
    <t>boyce-shelter-2</t>
  </si>
  <si>
    <t>Boyce Shelter 2nd</t>
  </si>
  <si>
    <t>boyce-shelter-3</t>
  </si>
  <si>
    <t>Boyce Shelter 3rd</t>
  </si>
  <si>
    <t>bread-loaf-inn</t>
  </si>
  <si>
    <t>Bread Loaf Inn</t>
  </si>
  <si>
    <t>bread-loaf-shelter</t>
  </si>
  <si>
    <t>Bread Loaf Shelter</t>
  </si>
  <si>
    <t>bromley-camp</t>
  </si>
  <si>
    <t>Bromley Camp</t>
  </si>
  <si>
    <t>bromley-lodge</t>
  </si>
  <si>
    <t>Bromley Lodge</t>
  </si>
  <si>
    <t>bromley-shelter</t>
  </si>
  <si>
    <t>Bromley Shelter</t>
  </si>
  <si>
    <t>Post and Beam</t>
  </si>
  <si>
    <t>Erik and Laurel Tobiason</t>
  </si>
  <si>
    <t>bromley-tenting-area</t>
  </si>
  <si>
    <t>Bromley Tenting Area</t>
  </si>
  <si>
    <t>brushs-farm</t>
  </si>
  <si>
    <t>Brush's Farm</t>
  </si>
  <si>
    <t>bryant-cabin</t>
  </si>
  <si>
    <t>Bryant Cabin</t>
  </si>
  <si>
    <t>buchanan-lodge</t>
  </si>
  <si>
    <t>Buchanan Lodge</t>
  </si>
  <si>
    <t>Frame cabin</t>
  </si>
  <si>
    <t>buchanan-shelter</t>
  </si>
  <si>
    <t>Buchanan Shelter</t>
  </si>
  <si>
    <t>Open porch/enclosed bunkroom</t>
  </si>
  <si>
    <t>buffum-camp</t>
  </si>
  <si>
    <t>Buffum Camp</t>
  </si>
  <si>
    <t>Frame shelter</t>
  </si>
  <si>
    <t>buffum-lodge</t>
  </si>
  <si>
    <t>Buffum Lodge</t>
  </si>
  <si>
    <t>burling-camp</t>
  </si>
  <si>
    <t>Burling Camp</t>
  </si>
  <si>
    <t>butler-lodge</t>
  </si>
  <si>
    <t>Butler Lodge</t>
  </si>
  <si>
    <t>camels-hump-clearing-huts</t>
  </si>
  <si>
    <t>Camel's Hump Clearing Huts</t>
  </si>
  <si>
    <t>Metal Hut</t>
  </si>
  <si>
    <t>camp-4</t>
  </si>
  <si>
    <t>Camp 4</t>
  </si>
  <si>
    <t>See: UVM long trail digital archives:Mountaintop logging camp and Camels Hump from lumber camp, this is likely mill two miles below camp #4</t>
  </si>
  <si>
    <t>camp-clarke</t>
  </si>
  <si>
    <t>Camp Clarke</t>
  </si>
  <si>
    <t>Back-yard camp</t>
  </si>
  <si>
    <t>camp-cobb</t>
  </si>
  <si>
    <t>Camp Cobb</t>
  </si>
  <si>
    <t>Hunting camp</t>
  </si>
  <si>
    <t>camp-eleven</t>
  </si>
  <si>
    <t>Camp Eleven</t>
  </si>
  <si>
    <t>camp-lizzie</t>
  </si>
  <si>
    <t>Camp Lizzie</t>
  </si>
  <si>
    <t>camp-webster-1</t>
  </si>
  <si>
    <t>Camp Webster 1st</t>
  </si>
  <si>
    <t>See below</t>
  </si>
  <si>
    <t>camp-webster-2</t>
  </si>
  <si>
    <t>Camp Webster 2nd</t>
  </si>
  <si>
    <t>Wood Frame Shelter</t>
  </si>
  <si>
    <t>Called Old Webster and Webster Shelter</t>
  </si>
  <si>
    <t>carmel-camp-1</t>
  </si>
  <si>
    <t>Carmel Camp 1st</t>
  </si>
  <si>
    <t>carmel-camp-2</t>
  </si>
  <si>
    <t>Carmel Camp 2nd</t>
  </si>
  <si>
    <t>Wooden Frame Camp</t>
  </si>
  <si>
    <t>carmel-camp-3</t>
  </si>
  <si>
    <t>Carmel Camp 3rd</t>
  </si>
  <si>
    <t>Steel Building</t>
  </si>
  <si>
    <t>caughnawaga-shelter</t>
  </si>
  <si>
    <t>Caughnawaga Shelter</t>
  </si>
  <si>
    <t>cedar-meadow-camp</t>
  </si>
  <si>
    <t>Cedar Meadow Camp</t>
  </si>
  <si>
    <t>Wooden Frame</t>
  </si>
  <si>
    <t>chatfields-boarding-house</t>
  </si>
  <si>
    <t>Chatfields Boarding House</t>
  </si>
  <si>
    <t>churchill-scott-shelter</t>
  </si>
  <si>
    <t>Churchill Scott Shelter</t>
  </si>
  <si>
    <t>clarendon-camp</t>
  </si>
  <si>
    <t>Clarendon Camp</t>
  </si>
  <si>
    <t>Frame Shelter</t>
  </si>
  <si>
    <t>clarendon-lodge</t>
  </si>
  <si>
    <t>Clarendon Lodge</t>
  </si>
  <si>
    <t>clarendon-shelter</t>
  </si>
  <si>
    <t>Clarendon Shelter</t>
  </si>
  <si>
    <t>Converted Wood Frame Shelter</t>
  </si>
  <si>
    <t>cloudland-shelter</t>
  </si>
  <si>
    <t>Cloudland Shelter</t>
  </si>
  <si>
    <t>congdon-shelter</t>
  </si>
  <si>
    <t>Congdon Shelter</t>
  </si>
  <si>
    <t>derivative.importing.kebabs</t>
  </si>
  <si>
    <t>cooley-glen-shelter-1</t>
  </si>
  <si>
    <t>Cooley Glen Shelter 1st</t>
  </si>
  <si>
    <t>cooley-glen-shelter-2</t>
  </si>
  <si>
    <t>Cooley Glen Shelter 2nd</t>
  </si>
  <si>
    <t>cooley-glen-shelter-3</t>
  </si>
  <si>
    <t>Cooley Glen Shelter 3rd</t>
  </si>
  <si>
    <t>agents.moral.submitting</t>
  </si>
  <si>
    <t>cooper-lodge</t>
  </si>
  <si>
    <t>Cooper Lodge</t>
  </si>
  <si>
    <t>Originally called the Stone Hut,see 1937 GB</t>
  </si>
  <si>
    <t>corliss-camp</t>
  </si>
  <si>
    <t>Corliss Camp</t>
  </si>
  <si>
    <t>cowles-cove-1</t>
  </si>
  <si>
    <t>Cowles Cove 1st</t>
  </si>
  <si>
    <t>cowles-cove-2</t>
  </si>
  <si>
    <t>Cowles Cove 2nd</t>
  </si>
  <si>
    <t>david-logan-shelter</t>
  </si>
  <si>
    <t>David Logan Shelter</t>
  </si>
  <si>
    <t>deer-view-cabin</t>
  </si>
  <si>
    <t>Deer View Cabin</t>
  </si>
  <si>
    <t>Replaces OLD Deer View Cabin, also called a camp</t>
  </si>
  <si>
    <t>deer-view-shelter</t>
  </si>
  <si>
    <t>Deer View Shelter</t>
  </si>
  <si>
    <t>deers-leap-camp</t>
  </si>
  <si>
    <t>Deer's Leap Camp</t>
  </si>
  <si>
    <t>deers-leap-lodge</t>
  </si>
  <si>
    <t>Deer's Leap Lodge</t>
  </si>
  <si>
    <t>Main Structure still standing as Long Trail Inn</t>
  </si>
  <si>
    <t>duck-brook-shelter</t>
  </si>
  <si>
    <t>Duck Brook Shelter</t>
  </si>
  <si>
    <t>dufresne-job</t>
  </si>
  <si>
    <t>Dufresne Job</t>
  </si>
  <si>
    <t>duncan-camp</t>
  </si>
  <si>
    <t>Duncan Camp</t>
  </si>
  <si>
    <t>Barn</t>
  </si>
  <si>
    <t>At Charles Hampton Grant farm in Peru Marge Fish husband researching location.</t>
  </si>
  <si>
    <t>dunsmoor-lodge</t>
  </si>
  <si>
    <t>Dunsmoor Lodge</t>
  </si>
  <si>
    <t>Open shelter</t>
  </si>
  <si>
    <t xml:space="preserve">east-shore-shelter-at-little-rock-pond                                               </t>
  </si>
  <si>
    <t>East Shore Shelter at Little Rock Pond</t>
  </si>
  <si>
    <t>Moved south .2 miles and renamed Lula Tye, photo shown is in new location with new name</t>
  </si>
  <si>
    <t>ellen-cabin</t>
  </si>
  <si>
    <t>Ellen Cabin</t>
  </si>
  <si>
    <t>Logging cabin</t>
  </si>
  <si>
    <t>emily-proctor-lodge-1</t>
  </si>
  <si>
    <t>Emily Proctor Lodge (1st)</t>
  </si>
  <si>
    <t>EP in Breadloaf Glen</t>
  </si>
  <si>
    <t>emily-proctor-lodge-2</t>
  </si>
  <si>
    <t>Emily Proctor Lodge (2nd)</t>
  </si>
  <si>
    <t>1st cabin rebuilt after 1938 hurricane</t>
  </si>
  <si>
    <t>emily-proctor-shelter</t>
  </si>
  <si>
    <t>Emily Proctor Shelter</t>
  </si>
  <si>
    <t>Log shelter</t>
  </si>
  <si>
    <t>fay-fuller-camp</t>
  </si>
  <si>
    <t>Fay Fuller Camp</t>
  </si>
  <si>
    <t>Stone building</t>
  </si>
  <si>
    <t>fred-h-tucker-camp</t>
  </si>
  <si>
    <t>Fred H Tucker Camp</t>
  </si>
  <si>
    <t>Frame Cabin</t>
  </si>
  <si>
    <t>french-camp</t>
  </si>
  <si>
    <t>French Camp</t>
  </si>
  <si>
    <t>gates-camp</t>
  </si>
  <si>
    <t>Gates Camp</t>
  </si>
  <si>
    <t>Logging Camp</t>
  </si>
  <si>
    <t>Same site as Patch Camp according to guidebook</t>
  </si>
  <si>
    <t>gifford-woods-state-park-shelters</t>
  </si>
  <si>
    <t>Gifford Woods State Park Shelters</t>
  </si>
  <si>
    <t>Wood frame</t>
  </si>
  <si>
    <t>GF Park is mentioned in 1940 guidebook, the first shelters were built in 1939</t>
  </si>
  <si>
    <t>glastenbury-mountain-camp</t>
  </si>
  <si>
    <t>Glastenbury Mountain Camp</t>
  </si>
  <si>
    <t>Steel cabin</t>
  </si>
  <si>
    <t>glastenbury-mountain-forestry-cabin</t>
  </si>
  <si>
    <t>Glastenbury Mountain Forestry Cabin</t>
  </si>
  <si>
    <t>See: Glastenbury Mountain Cairn Site also 1930 GB
by Norman E Muller</t>
  </si>
  <si>
    <t>glastenbury-mountain-shelter</t>
  </si>
  <si>
    <t>Glastenbury Mountain Shelter</t>
  </si>
  <si>
    <t>Log Lean-to</t>
  </si>
  <si>
    <t>glen-ellen-lodge</t>
  </si>
  <si>
    <t>Glen Ellen Lodge</t>
  </si>
  <si>
    <t>Log cabin</t>
  </si>
  <si>
    <t>glen-ellen-shelter</t>
  </si>
  <si>
    <t>Glen Ellen Shelter</t>
  </si>
  <si>
    <t>Log  Lean-to</t>
  </si>
  <si>
    <t>goddard-shelter-1</t>
  </si>
  <si>
    <t>Goddard Shelter 1st</t>
  </si>
  <si>
    <t>goddard-shelter-2</t>
  </si>
  <si>
    <t>Goddard Shelter 2nd</t>
  </si>
  <si>
    <t>gore-mountain-summit-cabin</t>
  </si>
  <si>
    <t>Gore Mountain Summit Cabin</t>
  </si>
  <si>
    <t>gorham-lodge</t>
  </si>
  <si>
    <t>Gorham Lodge</t>
  </si>
  <si>
    <t>goshen-lodge</t>
  </si>
  <si>
    <t>Goshen Lodge</t>
  </si>
  <si>
    <t xml:space="preserve">There is something wrong with the description of this lodge on the web site.  It implies the shelter was on Camels Hump but in fact was near the new Sunrise Shelter (see Sunrise Shelters).  This is actually the first sunrise shelter, and then later part of the Sunrise Shelters. but early on called Goshen Lodge. </t>
  </si>
  <si>
    <t>govenor-clement-shelter</t>
  </si>
  <si>
    <t>Govenor Clement Shelter</t>
  </si>
  <si>
    <t>Stone Lean-to</t>
  </si>
  <si>
    <t>greenwall-shelter-1</t>
  </si>
  <si>
    <t>Greenwall Shelter 1st</t>
  </si>
  <si>
    <t>greenwall-shelter-2</t>
  </si>
  <si>
    <t>Greenwall Shelter 2nd</t>
  </si>
  <si>
    <t>Frame lean-to</t>
  </si>
  <si>
    <t>gren-anderson-shelter</t>
  </si>
  <si>
    <t>Gren Anderson Shelter</t>
  </si>
  <si>
    <t>griffith-camp-1</t>
  </si>
  <si>
    <t>Griffith Camp 1st</t>
  </si>
  <si>
    <t>Abandoned wood buildings</t>
  </si>
  <si>
    <t>Old Griffith logging village</t>
  </si>
  <si>
    <t>griffith-camp-2</t>
  </si>
  <si>
    <t>Griffith Camp 2nd</t>
  </si>
  <si>
    <t>Wood camp</t>
  </si>
  <si>
    <t>griffith-lake-house</t>
  </si>
  <si>
    <t>Griffith Lake House</t>
  </si>
  <si>
    <t>3 story wood frame lodge</t>
  </si>
  <si>
    <t>griffith-lake-shelter</t>
  </si>
  <si>
    <t>Griffith Lake Shelter</t>
  </si>
  <si>
    <t>Wood frame lean-to</t>
  </si>
  <si>
    <t>griffith-lake-tenting-area</t>
  </si>
  <si>
    <t>Griffith Lake Tenting Area</t>
  </si>
  <si>
    <t>griffith-shelter</t>
  </si>
  <si>
    <t>Griffith Shelter</t>
  </si>
  <si>
    <t>Same as Peru Pk Shelter</t>
  </si>
  <si>
    <t>grout-job</t>
  </si>
  <si>
    <t>Grout Job</t>
  </si>
  <si>
    <t>gulf-shelter</t>
  </si>
  <si>
    <t>Gulf Shelter 1st</t>
  </si>
  <si>
    <t>See Winturi Shelter 1</t>
  </si>
  <si>
    <t>Gulf Shelter 2nd</t>
  </si>
  <si>
    <t>hapgood-pond-forest-camp</t>
  </si>
  <si>
    <t>Hapgood Pond Forest Camp</t>
  </si>
  <si>
    <t>happy-hill-shelter</t>
  </si>
  <si>
    <t>Happy Hill Shelter</t>
  </si>
  <si>
    <t>happy-hill-cabin</t>
  </si>
  <si>
    <t>Happy Hill Cabin</t>
  </si>
  <si>
    <t>Wooden Camp</t>
  </si>
  <si>
    <t>hawks-camp</t>
  </si>
  <si>
    <t>Hawks Camp</t>
  </si>
  <si>
    <t>hazens-notch-camp</t>
  </si>
  <si>
    <t>Hazen's Notch Camp 1st</t>
  </si>
  <si>
    <t>44.84236715942986, -72.53081036159001</t>
  </si>
  <si>
    <t>Hazen's Notch Camp 2nd</t>
  </si>
  <si>
    <t>Moved by VYCC in 1998</t>
  </si>
  <si>
    <t>headwaters-camp</t>
  </si>
  <si>
    <t>Headwaters Camp</t>
  </si>
  <si>
    <t>Sold in 2021</t>
  </si>
  <si>
    <t>hell-hollow-camp</t>
  </si>
  <si>
    <t>Hell Hollow Camp</t>
  </si>
  <si>
    <t>henry-davis-farm</t>
  </si>
  <si>
    <t>Henry Davis Farm</t>
  </si>
  <si>
    <t>hobbit-hut</t>
  </si>
  <si>
    <t>Hobbit Hut</t>
  </si>
  <si>
    <t>Opposite Wayside Rd/old AT route</t>
  </si>
  <si>
    <t>honey-hollow-tenting-area</t>
  </si>
  <si>
    <t>Honey Hollow Tenting Area</t>
  </si>
  <si>
    <t>Tenting area</t>
  </si>
  <si>
    <t>honted-house-camp</t>
  </si>
  <si>
    <t>Honted House Camp</t>
  </si>
  <si>
    <t>hump-brook-tenting-area</t>
  </si>
  <si>
    <t>Hump Brook Tenting Area</t>
  </si>
  <si>
    <t>inn-at-long-trail</t>
  </si>
  <si>
    <t>Inn at Long Trail</t>
  </si>
  <si>
    <t>Original GMC HQ Ski Cabin</t>
  </si>
  <si>
    <t>Modified from Original building</t>
  </si>
  <si>
    <t>jay-camp-1</t>
  </si>
  <si>
    <t>Jay Camp 1st</t>
  </si>
  <si>
    <t>on Rte 242 path</t>
  </si>
  <si>
    <t>jay-camp-2</t>
  </si>
  <si>
    <t>Jay Camp 2nd</t>
  </si>
  <si>
    <t>.3 m west of Rte 242</t>
  </si>
  <si>
    <t>journeys-end-1</t>
  </si>
  <si>
    <t>Journeys End 1st</t>
  </si>
  <si>
    <t>Dates according to guidebook 28Ed</t>
  </si>
  <si>
    <t>journeys-end-2</t>
  </si>
  <si>
    <t>Journeys End 2nd</t>
  </si>
  <si>
    <t>kelly-stand</t>
  </si>
  <si>
    <t>Kelly Stand</t>
  </si>
  <si>
    <t>kid-gore-shelter</t>
  </si>
  <si>
    <t>Kid Gore Shelter</t>
  </si>
  <si>
    <t>killington-camp</t>
  </si>
  <si>
    <t>Killington Camp</t>
  </si>
  <si>
    <t>Round steel camp</t>
  </si>
  <si>
    <t>kiln-camp</t>
  </si>
  <si>
    <t>Kiln Camp</t>
  </si>
  <si>
    <t>Old Kilns with bunks</t>
  </si>
  <si>
    <t>Photo of Kilns in Griffith Village (Old Job) are not this location</t>
  </si>
  <si>
    <t>lake-mansfield-trout-club</t>
  </si>
  <si>
    <t>Lake Mansfield Trout Club</t>
  </si>
  <si>
    <t>Summer Inn</t>
  </si>
  <si>
    <t>lake-pleiad-shelter-1</t>
  </si>
  <si>
    <t>Lake Pleiad Shelter 1st</t>
  </si>
  <si>
    <t>Frame Lean-to</t>
  </si>
  <si>
    <t>lake-pleiad-shelter-2</t>
  </si>
  <si>
    <t>Lake Pleiad Shelter 2nd</t>
  </si>
  <si>
    <t>lances-lodge</t>
  </si>
  <si>
    <t>Lances Lodge</t>
  </si>
  <si>
    <t>Private Resort</t>
  </si>
  <si>
    <t>Shown on Section 10 maps for many years. Robert Lance Trail once connected mountain to Lodge.</t>
  </si>
  <si>
    <t>laraway-camp</t>
  </si>
  <si>
    <t>Unrestored cabin</t>
  </si>
  <si>
    <t>laura-woodward-shelter-1</t>
  </si>
  <si>
    <t>Laura Woodward Shelter 1st</t>
  </si>
  <si>
    <t>laura-woodward-shelter-2</t>
  </si>
  <si>
    <t>Laura Woodward Shelter 2nd</t>
  </si>
  <si>
    <t>laura-woodward-shelter-3</t>
  </si>
  <si>
    <t>Laura Woodward Shelter 3rd</t>
  </si>
  <si>
    <t>Tom Abbot</t>
  </si>
  <si>
    <t>little-rock-pond-camp</t>
  </si>
  <si>
    <t>I don't see mention of this camp in the 1928 GB</t>
  </si>
  <si>
    <t>little-rock-pond-shelter-1</t>
  </si>
  <si>
    <t>Little Rock Pond Shelter 1st</t>
  </si>
  <si>
    <t>Log lean to</t>
  </si>
  <si>
    <t>little-rock-pond-shelter-2</t>
  </si>
  <si>
    <t>Little Rock Pond Shelter 2nd - A</t>
  </si>
  <si>
    <t>Wooden frame</t>
  </si>
  <si>
    <t>Was  Shelter#2 and dismantled and moved .1 mile north of pond in 1971</t>
  </si>
  <si>
    <t>Little Rock Pond Shelter 2nd - B</t>
  </si>
  <si>
    <t>little-rock-pond-shelter-3</t>
  </si>
  <si>
    <t>Little Rock Pond Shelter 3rd</t>
  </si>
  <si>
    <t>little-rock-pond-group-tenting-area</t>
  </si>
  <si>
    <t>Little Rock Pond Group Tenting Area</t>
  </si>
  <si>
    <t>long-trail-lodge</t>
  </si>
  <si>
    <t>Long Trail Lodge</t>
  </si>
  <si>
    <t>GMC Clubhouse</t>
  </si>
  <si>
    <t>lost-pond-shelter-1</t>
  </si>
  <si>
    <t>Lost Pond Shelter 1st</t>
  </si>
  <si>
    <t>lost-pond-shelter-2</t>
  </si>
  <si>
    <t>Lost Pond Shelter 2nd</t>
  </si>
  <si>
    <t>Dates according to 2011 GB</t>
  </si>
  <si>
    <t>lost-pond-shelter-3</t>
  </si>
  <si>
    <t>Lost Pond Shelter 3rd</t>
  </si>
  <si>
    <t>Tom Abbott</t>
  </si>
  <si>
    <t>luces-lookout</t>
  </si>
  <si>
    <t>Luce's Lookout</t>
  </si>
  <si>
    <t>Lookout view mentioned prior  to 1983 but not structures</t>
  </si>
  <si>
    <t>lula-tye-shelter</t>
  </si>
  <si>
    <t>Lula Tye Shelter - A</t>
  </si>
  <si>
    <t>Also called E Shore Shelter on Little Rock Pond</t>
  </si>
  <si>
    <t>Lula Tye Shelter - B</t>
  </si>
  <si>
    <t>mad-tom-camp</t>
  </si>
  <si>
    <t>Mad Tom Camp</t>
  </si>
  <si>
    <t>Wood Frame Camp</t>
  </si>
  <si>
    <t>mad-tom-notch-shelter</t>
  </si>
  <si>
    <t>Mad Tom Notch Shelter</t>
  </si>
  <si>
    <t>mad-tom-shelter</t>
  </si>
  <si>
    <t>Mad Tom Shelter</t>
  </si>
  <si>
    <t>Wood Frame Camp/Shelter</t>
  </si>
  <si>
    <t>Moved in 1980 and converted to a camp until 1997, Final location on Bromley at: 43.239637592610535, -72.93837765971196</t>
  </si>
  <si>
    <t>melville-nauheim</t>
  </si>
  <si>
    <t>Melville Nauheim</t>
  </si>
  <si>
    <t>minerva-hinchey-shelter</t>
  </si>
  <si>
    <t>Minerva Hinchey Shelter</t>
  </si>
  <si>
    <t>Formerly called Sunnyside Camp</t>
  </si>
  <si>
    <t>montclair-glen-lodge-1</t>
  </si>
  <si>
    <t>Montclair Glen Lodge 1st</t>
  </si>
  <si>
    <t>montclair-glen-lodge-2</t>
  </si>
  <si>
    <t>Montclair Glen Lodge 2nd</t>
  </si>
  <si>
    <t>Wooden Frame/Log Lodge</t>
  </si>
  <si>
    <t>I think this is still standing as the current lodge</t>
  </si>
  <si>
    <t>montclair-glen-lodge-3</t>
  </si>
  <si>
    <t>Montclair Glen Lodge 3rd</t>
  </si>
  <si>
    <t>mount-mansfield-hotel</t>
  </si>
  <si>
    <t>Mount Mansfield Hotel</t>
  </si>
  <si>
    <t>Wooden Hotel</t>
  </si>
  <si>
    <t>Torn down in 1964, Still mentioned in GB</t>
  </si>
  <si>
    <t>mountain-meadows-lodge</t>
  </si>
  <si>
    <t>Mountain Meadows Lodge</t>
  </si>
  <si>
    <t>noyes-camp</t>
  </si>
  <si>
    <t>Noyes Camp</t>
  </si>
  <si>
    <t>noyes-pond-camp</t>
  </si>
  <si>
    <t>Noyes Pond Camp</t>
  </si>
  <si>
    <t>noyes-pond-lodge</t>
  </si>
  <si>
    <t>Noyes Pond Lodge</t>
  </si>
  <si>
    <t>noyes-pond-shelter</t>
  </si>
  <si>
    <t>Noyes Pond Shelter</t>
  </si>
  <si>
    <t>octogon</t>
  </si>
  <si>
    <t>Octogon</t>
  </si>
  <si>
    <t>Winter Ski Warming Hut</t>
  </si>
  <si>
    <t>Spelled Octagon</t>
  </si>
  <si>
    <t>old-job-shelter</t>
  </si>
  <si>
    <t>Old Job Shelter</t>
  </si>
  <si>
    <t>parker-camp-1</t>
  </si>
  <si>
    <t>Parker Camp 1st</t>
  </si>
  <si>
    <t>parker-camp-2</t>
  </si>
  <si>
    <t>Parker Camp 2nd</t>
  </si>
  <si>
    <t>patch-camp</t>
  </si>
  <si>
    <t>Patch Camp</t>
  </si>
  <si>
    <t>Same structure as Gates Camp according to 1924 guidebook</t>
  </si>
  <si>
    <t>peru-peak-shelter</t>
  </si>
  <si>
    <t>Peru Peak Shelter</t>
  </si>
  <si>
    <t>Rebuilt in 1979,2000, 2011</t>
  </si>
  <si>
    <t>pico-camp-1</t>
  </si>
  <si>
    <t>Pico Camp 1st</t>
  </si>
  <si>
    <t>pico-camp-2</t>
  </si>
  <si>
    <t>Pico Camp 2nd</t>
  </si>
  <si>
    <t>porky-lodge</t>
  </si>
  <si>
    <t>Porky Lodge</t>
  </si>
  <si>
    <t>Stone Shelter with bunks</t>
  </si>
  <si>
    <t>Also called the Stone Hut</t>
  </si>
  <si>
    <t>puffer-camp</t>
  </si>
  <si>
    <t>Puffer Camp</t>
  </si>
  <si>
    <t>Wood Log Camp</t>
  </si>
  <si>
    <t>puffer-shelter</t>
  </si>
  <si>
    <t>Puffer Shelter</t>
  </si>
  <si>
    <t>Wood frame shelter</t>
  </si>
  <si>
    <t>rabbits-nest</t>
  </si>
  <si>
    <t>Rabbit's Nest</t>
  </si>
  <si>
    <t>Wood frame Camp</t>
  </si>
  <si>
    <t>Are you sure you want to keep publishing this?</t>
  </si>
  <si>
    <t>randall-lumber-camp</t>
  </si>
  <si>
    <t>Randall Lumber Camp</t>
  </si>
  <si>
    <t>Not sure this is correct. The photo shown is actually the same photo of site #71 in Little River State Park book "the Beauiful Vale Above the Falls" pg.26,67. Although  1st GB shows trail ascending Gleason Brook to the summit in the area as descrribed so it just may be that this is not the correct  picture.</t>
  </si>
  <si>
    <t>ritterbush-camp</t>
  </si>
  <si>
    <t>Ritterbush Camp</t>
  </si>
  <si>
    <t>ritterbush-lodge</t>
  </si>
  <si>
    <t>Ritterbush Lodge</t>
  </si>
  <si>
    <t>GB says this held 24, website says 8</t>
  </si>
  <si>
    <t>rolstons-rest-1</t>
  </si>
  <si>
    <t>Rolston's Rest 1st</t>
  </si>
  <si>
    <t>rolstons-rest-2</t>
  </si>
  <si>
    <t>Rolstons Rest 2nd</t>
  </si>
  <si>
    <t>roundtop-shelter</t>
  </si>
  <si>
    <t>RoundTop Shelter</t>
  </si>
  <si>
    <t>Todd and Wendy Jenner</t>
  </si>
  <si>
    <t>seth-warner-camp-1</t>
  </si>
  <si>
    <t>Seth Warner Camp 1st</t>
  </si>
  <si>
    <t>seth-warner-camp-2</t>
  </si>
  <si>
    <t>Seth Warner Camp 2nd</t>
  </si>
  <si>
    <t>seth-warner-shelter-1</t>
  </si>
  <si>
    <t>Seth Warner Shelter 1st</t>
  </si>
  <si>
    <t>Wood frame Shelter</t>
  </si>
  <si>
    <t>Built by carpenter trainees of the Manpower Development Training Act</t>
  </si>
  <si>
    <t>seth-warner-shelter-2</t>
  </si>
  <si>
    <t>Seth Warner Shelter 2nd</t>
  </si>
  <si>
    <t>confusion.mixers.quarry</t>
  </si>
  <si>
    <t>seth-warner-shelter-3</t>
  </si>
  <si>
    <t>Seth Warner Shelter 3rd</t>
  </si>
  <si>
    <t>shattuck-lodge</t>
  </si>
  <si>
    <t>Shattuck Lodge</t>
  </si>
  <si>
    <t>Originally a logging camp and called Shattuck Lodge.  Then converted to Mould Lodge</t>
  </si>
  <si>
    <t>shooting-star-shelter-1</t>
  </si>
  <si>
    <t>Shooting Star Shelter 1st</t>
  </si>
  <si>
    <t>Log lean-to</t>
  </si>
  <si>
    <t>shooting-star-shelter-2</t>
  </si>
  <si>
    <t>Shooting Star Shelter 2nd</t>
  </si>
  <si>
    <t>GB says built in 2001</t>
  </si>
  <si>
    <t>skyline-lodge-1</t>
  </si>
  <si>
    <t>Skyline Lodge 1st</t>
  </si>
  <si>
    <t>Built by Middlebury Mt Club</t>
  </si>
  <si>
    <t>skyline-lodge-2</t>
  </si>
  <si>
    <t>Skyline Lodge 2nd</t>
  </si>
  <si>
    <t>Built by GMC and USFS</t>
  </si>
  <si>
    <t>spring-lake-shelter</t>
  </si>
  <si>
    <t>Spring Lake Shelter</t>
  </si>
  <si>
    <t>Built by Killington Section</t>
  </si>
  <si>
    <t>spruce-ledge-camp</t>
  </si>
  <si>
    <t>Spruce Ledge Camp</t>
  </si>
  <si>
    <t>spruce-peak-shelter</t>
  </si>
  <si>
    <t>Spruce Peak Shelter</t>
  </si>
  <si>
    <t>starks-nest</t>
  </si>
  <si>
    <t>Starks Nest</t>
  </si>
  <si>
    <t>Wooden Frame Cabin</t>
  </si>
  <si>
    <t>stem-cabin</t>
  </si>
  <si>
    <t>Stem Cabin</t>
  </si>
  <si>
    <t>sterling-pond-lodge-1</t>
  </si>
  <si>
    <t>Sterling Pond Lodge 1st</t>
  </si>
  <si>
    <t>sterling-pond-lodge-2</t>
  </si>
  <si>
    <t>Sterling Pond Lodge 2nd</t>
  </si>
  <si>
    <t>sterling-pond-shelter-1</t>
  </si>
  <si>
    <t>Sterling Pond Shelter 1st</t>
  </si>
  <si>
    <t>Frame shelter by Montpelier Section</t>
  </si>
  <si>
    <t>Built by Montpelier Section</t>
  </si>
  <si>
    <t>sterling-pond-shelter-2</t>
  </si>
  <si>
    <t>Sterling Pond Shelter 2nd</t>
  </si>
  <si>
    <t>blissful.imply.numbed</t>
  </si>
  <si>
    <t>Wood Frame lean-to</t>
  </si>
  <si>
    <t>stone-hut</t>
  </si>
  <si>
    <t>Stone Hut</t>
  </si>
  <si>
    <t>On Mt Mansfield</t>
  </si>
  <si>
    <t>stony-brook-shelter-1</t>
  </si>
  <si>
    <t>Stony Brook Shelter 1st</t>
  </si>
  <si>
    <t>stony-brook-shelter-2</t>
  </si>
  <si>
    <t>Stony Brook Shelter 2nd</t>
  </si>
  <si>
    <t>Moved .8 m south</t>
  </si>
  <si>
    <t>story-spring-shelter</t>
  </si>
  <si>
    <t>Story Spring Shelter</t>
  </si>
  <si>
    <t>stratton-mountain-vermont-forestry-service-cabin-1</t>
  </si>
  <si>
    <t>Stratton Mountain Vermont Forestry Service Cabin 1st</t>
  </si>
  <si>
    <t>At spring below summit. Also called Porky lodge!</t>
  </si>
  <si>
    <t>stratton-mountain-vermont-forestry-service-cabin-2</t>
  </si>
  <si>
    <t>Stratton Mountain Vermont Forestry Service Cabin 2nd</t>
  </si>
  <si>
    <t>stratton-mountain-vermont-forestry-service-cabin-3</t>
  </si>
  <si>
    <t>Stratton Mountain Vermont Forestry Service Cabin 3rd</t>
  </si>
  <si>
    <t>stratton-pond-shelter</t>
  </si>
  <si>
    <t>Stratton Pond Shelter</t>
  </si>
  <si>
    <t>stratton-view-campsite</t>
  </si>
  <si>
    <t>Stratton View Campsite</t>
  </si>
  <si>
    <t>stratton-view-shelter-1</t>
  </si>
  <si>
    <t>Stratton View Shelter 1st</t>
  </si>
  <si>
    <t>stratton-view-shelter-2</t>
  </si>
  <si>
    <t>Stratton View Shelter 2nd</t>
  </si>
  <si>
    <t xml:space="preserve">                                                   </t>
  </si>
  <si>
    <t>sucker-brook-lodge</t>
  </si>
  <si>
    <t>Sucker Brook Lodge</t>
  </si>
  <si>
    <t>sucker-brook-shelter</t>
  </si>
  <si>
    <t>Sucker Brook Shelter</t>
  </si>
  <si>
    <t>sunnyside-camp-1</t>
  </si>
  <si>
    <t>Sunnyside Camp 1st</t>
  </si>
  <si>
    <t>See Spring Lake Camp, was that shelter but moved to this location</t>
  </si>
  <si>
    <t>sunnyside-camp-2</t>
  </si>
  <si>
    <t>Sunnyside Camp 2nd</t>
  </si>
  <si>
    <t>sunrise-camp</t>
  </si>
  <si>
    <t>Sunrise Camp</t>
  </si>
  <si>
    <t>See Goshen Lodge</t>
  </si>
  <si>
    <t>sunrise-shelter-1</t>
  </si>
  <si>
    <t>Sunrise Shelter 1st</t>
  </si>
  <si>
    <t>Also called Sunrise Camps or Goshen Lodge, received a steel roof and abutting steel shelter in 1925</t>
  </si>
  <si>
    <t>sunrise-shelter-2</t>
  </si>
  <si>
    <t>Sunrise Shelter 2nd</t>
  </si>
  <si>
    <t>sunrise-shelter-3</t>
  </si>
  <si>
    <t>Sunrise Shelter 3rd</t>
  </si>
  <si>
    <t>swansong-shelter</t>
  </si>
  <si>
    <t>Swansong Shelter</t>
  </si>
  <si>
    <t>swezey-camp-1</t>
  </si>
  <si>
    <t>Swezey Camp 1st</t>
  </si>
  <si>
    <t>swezey-camp-2</t>
  </si>
  <si>
    <t>Swezey Camp 2nd</t>
  </si>
  <si>
    <t>Buchanan/LTP</t>
  </si>
  <si>
    <t>swezey-shelter</t>
  </si>
  <si>
    <t>Swezey Shelter</t>
  </si>
  <si>
    <t>taft-lodge</t>
  </si>
  <si>
    <t>Taft Lodge</t>
  </si>
  <si>
    <t>tamarak-shelter</t>
  </si>
  <si>
    <t>Tamarak Shelter</t>
  </si>
  <si>
    <t>Called Tamarack in LTG</t>
  </si>
  <si>
    <t>taylor-lodge-1</t>
  </si>
  <si>
    <t>Taylor Lodge 1st</t>
  </si>
  <si>
    <t>taylor-lodge-2</t>
  </si>
  <si>
    <t>Taylor Lodge 2nd</t>
  </si>
  <si>
    <t>taylor-lodge-3</t>
  </si>
  <si>
    <t>Taylor Lodge 3rd</t>
  </si>
  <si>
    <t>Wood frame cabin</t>
  </si>
  <si>
    <t>thendara-camp</t>
  </si>
  <si>
    <t>Thendara Camp</t>
  </si>
  <si>
    <t>thendara-lodge</t>
  </si>
  <si>
    <t>Thendara Lodge</t>
  </si>
  <si>
    <t>In Harriman State Park, NY</t>
  </si>
  <si>
    <t>theron-dean-lodge</t>
  </si>
  <si>
    <t>Theron Dean Lodge</t>
  </si>
  <si>
    <t>theron-dean-shelter</t>
  </si>
  <si>
    <t>Theron Dean Shelter</t>
  </si>
  <si>
    <t>thistle-hill-shelter</t>
  </si>
  <si>
    <t>Thistle Hill Shelter</t>
  </si>
  <si>
    <t>thompson-home</t>
  </si>
  <si>
    <t>Thompson Home</t>
  </si>
  <si>
    <t>three-shanties</t>
  </si>
  <si>
    <t>Three Shanties</t>
  </si>
  <si>
    <t>tillotson-camp-1</t>
  </si>
  <si>
    <t>Tillotson Camp 1st</t>
  </si>
  <si>
    <t>Article states that this was one of the original shelters: https://www.northstarmonthly.com/columns/belvedere-mountain-and-the-great-white-hill/article_0e7df6a0-cd6b-11ed-86fd-b7fa99870fa8.html</t>
  </si>
  <si>
    <t>tillotson-camp-2</t>
  </si>
  <si>
    <t>Tillotson Camp 2nd</t>
  </si>
  <si>
    <t>true-temper-inn</t>
  </si>
  <si>
    <t>True Temper Inn</t>
  </si>
  <si>
    <t>tucker-johnson-shelter</t>
  </si>
  <si>
    <t>Tucker-Johnson Shelter</t>
  </si>
  <si>
    <t>tucker-lodge</t>
  </si>
  <si>
    <t>Tucker Lodge</t>
  </si>
  <si>
    <t xml:space="preserve">Log Cabin </t>
  </si>
  <si>
    <t>twin-brooks-tenting-area</t>
  </si>
  <si>
    <t>Twin Brooks Tenting Area</t>
  </si>
  <si>
    <t>underhill-state-park</t>
  </si>
  <si>
    <t>Underhill State Park</t>
  </si>
  <si>
    <t>Wood Frame Shelters</t>
  </si>
  <si>
    <t>vondell-shelter</t>
  </si>
  <si>
    <t>Vondell Shelter</t>
  </si>
  <si>
    <t>voter-white-lodge</t>
  </si>
  <si>
    <t>Voter-White Lodge</t>
  </si>
  <si>
    <t>watson-camp</t>
  </si>
  <si>
    <t>Watson Camp</t>
  </si>
  <si>
    <t>Wood Frame Cabin</t>
  </si>
  <si>
    <t>wheeler-pond-camps</t>
  </si>
  <si>
    <t>Wheeler Pond Camps</t>
  </si>
  <si>
    <t>This was managed by the AMC prior to donation to the GMC.</t>
  </si>
  <si>
    <t>whiteface-lodge</t>
  </si>
  <si>
    <t>Whiteface Lodge</t>
  </si>
  <si>
    <t>whiteface-shelter</t>
  </si>
  <si>
    <t>Whiteface Shelter</t>
  </si>
  <si>
    <t>whitman-lodge</t>
  </si>
  <si>
    <t>Whitman Lodge</t>
  </si>
  <si>
    <t>Wood Log Cabin</t>
  </si>
  <si>
    <t>wiley-lodge-1</t>
  </si>
  <si>
    <t>Wiley Lodge 1st</t>
  </si>
  <si>
    <t>Wood Frame cabin</t>
  </si>
  <si>
    <t>wiley-lodge-2</t>
  </si>
  <si>
    <t>Wiley Lodge 2nd</t>
  </si>
  <si>
    <t>william-b-douglass-shelter</t>
  </si>
  <si>
    <t>William B Douglass Shelter</t>
  </si>
  <si>
    <t>willis-ross-annex-1</t>
  </si>
  <si>
    <t>Willis-Ross Annex 1st</t>
  </si>
  <si>
    <t>willis-ross-annex-2</t>
  </si>
  <si>
    <t>Willis-Ross Annex 2nd</t>
  </si>
  <si>
    <t>willis-ross-camp</t>
  </si>
  <si>
    <t>Willis-Ross Camp</t>
  </si>
  <si>
    <t>winturri-shelter-1</t>
  </si>
  <si>
    <t>Winturri Shelter 1st</t>
  </si>
  <si>
    <t>winturri-shelter-2</t>
  </si>
  <si>
    <t>Winturri Shelter 2nd</t>
  </si>
  <si>
    <t>worth-mountain-lodge</t>
  </si>
  <si>
    <t>Worth Mountain Lodge</t>
  </si>
  <si>
    <t>wyanoki-lodge</t>
  </si>
  <si>
    <t>Wyanoki Lodge</t>
  </si>
  <si>
    <t>Wood Building-burned</t>
  </si>
  <si>
    <t>',</t>
  </si>
  <si>
    <t>,'</t>
  </si>
  <si>
    <t>','</t>
  </si>
  <si>
    <t/>
  </si>
  <si>
    <t>update shelters set name='</t>
  </si>
  <si>
    <t>', start_year=</t>
  </si>
  <si>
    <t>, end_year=</t>
  </si>
  <si>
    <t>, is_gmc=</t>
  </si>
  <si>
    <t>, architecture='</t>
  </si>
  <si>
    <t xml:space="preserve">', notes=' </t>
  </si>
  <si>
    <t>'  where shelter_key='</t>
  </si>
  <si>
    <t>'</t>
  </si>
  <si>
    <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</si>
</sst>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sz val="10.0"/>
      <color theme="1"/>
      <name val="&quot;Google Sans&quot;"/>
    </font>
    <font>
      <sz val="10.0"/>
      <color theme="1"/>
      <name val="Arial"/>
    </font>
    <font>
      <color theme="1"/>
      <name val="Arial"/>
    </font>
    <font>
      <sz val="17.0"/>
      <color theme="1"/>
      <name val="Arial"/>
    </font>
    <font>
      <sz val="10.0"/>
      <color theme="1"/>
      <name val="&quot;Open Sans&quot;"/>
    </font>
    <font>
      <color rgb="FF000000"/>
      <name val="Arial"/>
      <scheme val="minor"/>
    </font>
    <font>
      <sz val="11.0"/>
      <color theme="1"/>
      <name val="&quot;Google Sans&quot;"/>
    </font>
    <font>
      <sz val="10.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FFCC"/>
        <bgColor rgb="FFFFFFCC"/>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xf borderId="0" fillId="2" fontId="2" numFmtId="0" xfId="0" applyAlignment="1" applyFill="1" applyFont="1">
      <alignment readingOrder="0"/>
    </xf>
    <xf borderId="0" fillId="0" fontId="3" numFmtId="0" xfId="0" applyAlignment="1" applyFont="1">
      <alignment readingOrder="0"/>
    </xf>
    <xf borderId="0" fillId="2" fontId="1" numFmtId="0" xfId="0" applyAlignment="1" applyFont="1">
      <alignment readingOrder="0"/>
    </xf>
    <xf borderId="0" fillId="2" fontId="1" numFmtId="0" xfId="0" applyFont="1"/>
    <xf borderId="0" fillId="2" fontId="1" numFmtId="0" xfId="0" applyFont="1"/>
    <xf borderId="0" fillId="2" fontId="3" numFmtId="0" xfId="0" applyAlignment="1" applyFont="1">
      <alignment readingOrder="0"/>
    </xf>
    <xf borderId="0" fillId="3" fontId="4" numFmtId="0" xfId="0" applyAlignment="1" applyFill="1" applyFont="1">
      <alignment horizontal="left" readingOrder="0"/>
    </xf>
    <xf borderId="0" fillId="4" fontId="5" numFmtId="0" xfId="0" applyAlignment="1" applyFill="1" applyFont="1">
      <alignment readingOrder="0"/>
    </xf>
    <xf borderId="0" fillId="3" fontId="1" numFmtId="0" xfId="0" applyAlignment="1" applyFont="1">
      <alignment readingOrder="0"/>
    </xf>
    <xf borderId="0" fillId="3" fontId="1" numFmtId="0" xfId="0" applyFont="1"/>
    <xf borderId="0" fillId="3" fontId="1" numFmtId="0" xfId="0" applyFont="1"/>
    <xf borderId="0" fillId="2" fontId="6" numFmtId="0" xfId="0" applyAlignment="1" applyFont="1">
      <alignment readingOrder="0"/>
    </xf>
    <xf borderId="0" fillId="3" fontId="2" numFmtId="0" xfId="0" applyAlignment="1" applyFont="1">
      <alignment readingOrder="0"/>
    </xf>
    <xf borderId="0" fillId="3" fontId="7" numFmtId="0" xfId="0" applyFont="1"/>
    <xf borderId="0" fillId="0" fontId="4" numFmtId="0" xfId="0" applyAlignment="1" applyFont="1">
      <alignment readingOrder="0" vertical="bottom"/>
    </xf>
    <xf borderId="0" fillId="0" fontId="4" numFmtId="0" xfId="0" applyAlignment="1" applyFont="1">
      <alignment vertical="bottom"/>
    </xf>
    <xf borderId="0" fillId="0" fontId="7" numFmtId="0" xfId="0" applyFont="1"/>
    <xf borderId="0" fillId="2" fontId="8" numFmtId="0" xfId="0" applyAlignment="1" applyFont="1">
      <alignment readingOrder="0"/>
    </xf>
    <xf borderId="0" fillId="2" fontId="9" numFmtId="0" xfId="0" applyAlignment="1" applyFont="1">
      <alignment readingOrder="0"/>
    </xf>
    <xf borderId="0" fillId="0" fontId="2" numFmtId="0" xfId="0" applyAlignment="1" applyFont="1">
      <alignment readingOrder="0"/>
    </xf>
    <xf borderId="0" fillId="0" fontId="9" numFmtId="0" xfId="0" applyAlignment="1" applyFont="1">
      <alignment readingOrder="0"/>
    </xf>
    <xf borderId="0" fillId="2" fontId="3" numFmtId="0" xfId="0" applyAlignment="1" applyFont="1">
      <alignment readingOrder="0"/>
    </xf>
    <xf borderId="0" fillId="2" fontId="1" numFmtId="0" xfId="0" applyAlignment="1" applyFont="1">
      <alignment readingOrder="0" shrinkToFit="0" wrapText="1"/>
    </xf>
    <xf borderId="0" fillId="0" fontId="4" numFmtId="0" xfId="0" applyAlignment="1" applyFont="1">
      <alignment readingOrder="0"/>
    </xf>
    <xf borderId="0" fillId="2" fontId="7" numFmtId="0" xfId="0" applyFont="1"/>
    <xf borderId="0" fillId="3" fontId="3" numFmtId="0" xfId="0" applyAlignment="1" applyFont="1">
      <alignment readingOrder="0"/>
    </xf>
    <xf borderId="0" fillId="2" fontId="4" numFmtId="0" xfId="0" applyAlignment="1" applyFont="1">
      <alignment horizontal="left" readingOrder="0"/>
    </xf>
    <xf borderId="0" fillId="3" fontId="9" numFmtId="0" xfId="0" applyAlignment="1" applyFont="1">
      <alignment readingOrder="0"/>
    </xf>
    <xf borderId="0" fillId="3" fontId="4" numFmtId="0" xfId="0" applyAlignment="1" applyFont="1">
      <alignment readingOrder="0"/>
    </xf>
    <xf borderId="0" fillId="0" fontId="7" numFmtId="0" xfId="0" applyFont="1"/>
    <xf borderId="0" fillId="3" fontId="8" numFmtId="0" xfId="0" applyAlignment="1" applyFont="1">
      <alignment readingOrder="0"/>
    </xf>
    <xf borderId="0" fillId="0" fontId="1" numFmtId="0" xfId="0" applyAlignment="1" applyFont="1">
      <alignment readingOrder="0" shrinkToFit="0" wrapText="1"/>
    </xf>
    <xf borderId="0" fillId="3" fontId="1" numFmtId="0" xfId="0" applyAlignment="1" applyFont="1">
      <alignment readingOrder="0" shrinkToFit="0" wrapText="1"/>
    </xf>
    <xf borderId="0" fillId="0" fontId="4" numFmtId="0" xfId="0" applyFont="1"/>
    <xf borderId="0" fillId="0" fontId="4" numFmtId="0" xfId="0" applyAlignment="1" applyFont="1">
      <alignment horizontal="right" vertical="bottom"/>
    </xf>
    <xf quotePrefix="1" borderId="0" fillId="0"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38"/>
    <col customWidth="1" min="2" max="2" width="33.25"/>
    <col customWidth="1" min="3" max="3" width="29.38"/>
    <col customWidth="1" min="4" max="4" width="16.13"/>
    <col customWidth="1" min="5" max="6" width="20.0"/>
    <col customWidth="1" min="7" max="7" width="19.63"/>
    <col customWidth="1" min="8" max="8" width="28.38"/>
    <col customWidth="1" hidden="1" min="9" max="9" width="25.13"/>
    <col customWidth="1" min="10" max="10" width="24.13"/>
    <col customWidth="1" min="11" max="11" width="14.13"/>
    <col customWidth="1" min="12" max="12" width="73.13"/>
    <col customWidth="1" min="13" max="13" width="34.88"/>
    <col customWidth="1" min="14" max="14" width="14.13"/>
  </cols>
  <sheetData>
    <row r="1">
      <c r="A1" s="1" t="s">
        <v>0</v>
      </c>
      <c r="B1" s="1" t="s">
        <v>1</v>
      </c>
      <c r="C1" s="1" t="s">
        <v>2</v>
      </c>
      <c r="D1" s="1" t="s">
        <v>3</v>
      </c>
      <c r="E1" s="1" t="s">
        <v>4</v>
      </c>
      <c r="F1" s="1" t="s">
        <v>5</v>
      </c>
      <c r="G1" s="1" t="s">
        <v>6</v>
      </c>
      <c r="H1" s="1" t="s">
        <v>7</v>
      </c>
      <c r="I1" s="2" t="s">
        <v>8</v>
      </c>
      <c r="J1" s="1" t="s">
        <v>9</v>
      </c>
      <c r="K1" s="1" t="s">
        <v>10</v>
      </c>
      <c r="L1" s="1" t="s">
        <v>11</v>
      </c>
    </row>
    <row r="2">
      <c r="A2" s="1">
        <v>1.0</v>
      </c>
      <c r="B2" s="3" t="s">
        <v>12</v>
      </c>
      <c r="C2" s="2" t="s">
        <v>13</v>
      </c>
      <c r="D2" s="2">
        <v>1922.0</v>
      </c>
      <c r="E2" s="2">
        <v>1932.0</v>
      </c>
      <c r="F2" s="1" t="b">
        <f t="shared" ref="F2:F16" si="1">NOT(ISNUMBER(E2))</f>
        <v>0</v>
      </c>
      <c r="G2" s="2">
        <v>43.203333</v>
      </c>
      <c r="H2" s="2">
        <v>-72.960156</v>
      </c>
      <c r="I2" s="3" t="str">
        <f>W3WCONVERTTO3WA(G2,H2)</f>
        <v>#ERROR!</v>
      </c>
      <c r="K2" s="2" t="b">
        <v>1</v>
      </c>
    </row>
    <row r="3">
      <c r="A3" s="1">
        <v>2.0</v>
      </c>
      <c r="B3" s="3" t="s">
        <v>14</v>
      </c>
      <c r="C3" s="2" t="s">
        <v>15</v>
      </c>
      <c r="D3" s="2">
        <v>1910.0</v>
      </c>
      <c r="E3" s="2">
        <v>1930.0</v>
      </c>
      <c r="F3" s="1" t="b">
        <f t="shared" si="1"/>
        <v>0</v>
      </c>
      <c r="G3" s="4">
        <v>43.4104995</v>
      </c>
      <c r="H3" s="1">
        <v>-72.9444969</v>
      </c>
      <c r="K3" s="2" t="b">
        <v>0</v>
      </c>
    </row>
    <row r="4">
      <c r="A4" s="1">
        <v>3.0</v>
      </c>
      <c r="B4" s="3" t="s">
        <v>16</v>
      </c>
      <c r="C4" s="2" t="s">
        <v>17</v>
      </c>
      <c r="D4" s="2">
        <v>1967.0</v>
      </c>
      <c r="E4" s="2"/>
      <c r="F4" s="1" t="b">
        <f t="shared" si="1"/>
        <v>1</v>
      </c>
      <c r="G4" s="2">
        <v>44.912974</v>
      </c>
      <c r="H4" s="2">
        <v>-72.504879</v>
      </c>
      <c r="I4" s="3" t="str">
        <f>W3WCONVERTTO3WA(G4,H4)</f>
        <v>#ERROR!</v>
      </c>
      <c r="J4" s="1" t="s">
        <v>18</v>
      </c>
      <c r="K4" s="2" t="b">
        <v>1</v>
      </c>
      <c r="L4" s="2"/>
      <c r="N4" s="2"/>
    </row>
    <row r="5">
      <c r="A5" s="1">
        <v>4.0</v>
      </c>
      <c r="B5" s="3" t="s">
        <v>19</v>
      </c>
      <c r="C5" s="2" t="s">
        <v>20</v>
      </c>
      <c r="D5" s="1">
        <v>1928.0</v>
      </c>
      <c r="E5" s="2">
        <v>1931.0</v>
      </c>
      <c r="F5" s="1" t="b">
        <f t="shared" si="1"/>
        <v>0</v>
      </c>
      <c r="G5" s="5">
        <v>44.7231935778802</v>
      </c>
      <c r="H5" s="5">
        <v>-72.6552293105403</v>
      </c>
      <c r="J5" s="2" t="s">
        <v>21</v>
      </c>
      <c r="K5" s="2" t="b">
        <v>0</v>
      </c>
    </row>
    <row r="6">
      <c r="A6" s="1">
        <v>5.0</v>
      </c>
      <c r="B6" s="3" t="s">
        <v>22</v>
      </c>
      <c r="C6" s="2" t="s">
        <v>23</v>
      </c>
      <c r="D6" s="2">
        <v>2002.0</v>
      </c>
      <c r="E6" s="2"/>
      <c r="F6" s="1" t="b">
        <f t="shared" si="1"/>
        <v>1</v>
      </c>
      <c r="G6" s="2">
        <v>44.35056</v>
      </c>
      <c r="H6" s="2">
        <v>-72.86218</v>
      </c>
      <c r="I6" s="3" t="str">
        <f t="shared" ref="I6:I8" si="2">W3WCONVERTTO3WA(G6,H6)</f>
        <v>#ERROR!</v>
      </c>
      <c r="J6" s="2" t="s">
        <v>24</v>
      </c>
      <c r="K6" s="2" t="b">
        <v>1</v>
      </c>
    </row>
    <row r="7">
      <c r="A7" s="1">
        <v>6.0</v>
      </c>
      <c r="B7" s="3" t="s">
        <v>25</v>
      </c>
      <c r="C7" s="2" t="s">
        <v>26</v>
      </c>
      <c r="D7" s="2">
        <v>1927.0</v>
      </c>
      <c r="E7" s="2"/>
      <c r="F7" s="1" t="b">
        <f t="shared" si="1"/>
        <v>1</v>
      </c>
      <c r="G7" s="2">
        <v>44.533123</v>
      </c>
      <c r="H7" s="2">
        <v>-72.7888592</v>
      </c>
      <c r="I7" s="3" t="str">
        <f t="shared" si="2"/>
        <v>#ERROR!</v>
      </c>
      <c r="J7" s="2" t="s">
        <v>27</v>
      </c>
      <c r="K7" s="2" t="b">
        <v>0</v>
      </c>
    </row>
    <row r="8">
      <c r="A8" s="1">
        <v>7.0</v>
      </c>
      <c r="B8" s="3" t="s">
        <v>28</v>
      </c>
      <c r="C8" s="2" t="s">
        <v>29</v>
      </c>
      <c r="D8" s="2">
        <v>1931.0</v>
      </c>
      <c r="E8" s="2">
        <v>1994.0</v>
      </c>
      <c r="F8" s="1" t="b">
        <f t="shared" si="1"/>
        <v>0</v>
      </c>
      <c r="G8" s="2">
        <v>44.68949</v>
      </c>
      <c r="H8" s="2">
        <v>-72.72429</v>
      </c>
      <c r="I8" s="3" t="str">
        <f t="shared" si="2"/>
        <v>#ERROR!</v>
      </c>
      <c r="J8" s="2" t="s">
        <v>30</v>
      </c>
      <c r="K8" s="2" t="b">
        <v>1</v>
      </c>
    </row>
    <row r="9">
      <c r="A9" s="1">
        <v>8.0</v>
      </c>
      <c r="B9" s="1" t="s">
        <v>31</v>
      </c>
      <c r="C9" s="2" t="s">
        <v>32</v>
      </c>
      <c r="D9" s="2">
        <v>1899.0</v>
      </c>
      <c r="E9" s="2">
        <v>1917.0</v>
      </c>
      <c r="F9" s="1" t="b">
        <f t="shared" si="1"/>
        <v>0</v>
      </c>
      <c r="G9" s="4">
        <v>44.1115906</v>
      </c>
      <c r="H9" s="1">
        <v>-72.9365242</v>
      </c>
      <c r="J9" s="2" t="s">
        <v>33</v>
      </c>
      <c r="K9" s="2" t="b">
        <v>0</v>
      </c>
    </row>
    <row r="10">
      <c r="A10" s="1">
        <v>9.0</v>
      </c>
      <c r="B10" s="1" t="s">
        <v>34</v>
      </c>
      <c r="C10" s="2" t="s">
        <v>35</v>
      </c>
      <c r="D10" s="2">
        <v>1926.0</v>
      </c>
      <c r="E10" s="2">
        <v>1937.0</v>
      </c>
      <c r="F10" s="1" t="b">
        <f t="shared" si="1"/>
        <v>0</v>
      </c>
      <c r="J10" s="2" t="s">
        <v>24</v>
      </c>
      <c r="K10" s="2" t="b">
        <v>1</v>
      </c>
    </row>
    <row r="11">
      <c r="A11" s="1">
        <v>10.0</v>
      </c>
      <c r="B11" s="1" t="s">
        <v>36</v>
      </c>
      <c r="C11" s="2" t="s">
        <v>37</v>
      </c>
      <c r="D11" s="2">
        <v>1938.0</v>
      </c>
      <c r="E11" s="2">
        <v>1966.0</v>
      </c>
      <c r="F11" s="1" t="b">
        <f t="shared" si="1"/>
        <v>0</v>
      </c>
      <c r="G11" s="2">
        <v>44.1116854</v>
      </c>
      <c r="H11" s="2">
        <v>-72.9367256</v>
      </c>
      <c r="J11" s="2" t="s">
        <v>38</v>
      </c>
      <c r="K11" s="2" t="b">
        <v>1</v>
      </c>
    </row>
    <row r="12">
      <c r="A12" s="1">
        <v>11.0</v>
      </c>
      <c r="B12" s="1" t="s">
        <v>39</v>
      </c>
      <c r="C12" s="2" t="s">
        <v>40</v>
      </c>
      <c r="D12" s="2">
        <v>1967.0</v>
      </c>
      <c r="E12" s="2"/>
      <c r="F12" s="1" t="b">
        <f t="shared" si="1"/>
        <v>1</v>
      </c>
      <c r="G12" s="2">
        <v>44.1116854</v>
      </c>
      <c r="H12" s="2">
        <v>-72.9367256</v>
      </c>
      <c r="I12" s="3" t="str">
        <f t="shared" ref="I12:I14" si="3">W3WCONVERTTO3WA(G12,H12)</f>
        <v>#ERROR!</v>
      </c>
      <c r="J12" s="2" t="s">
        <v>41</v>
      </c>
      <c r="K12" s="2" t="b">
        <v>1</v>
      </c>
    </row>
    <row r="13">
      <c r="A13" s="1">
        <v>12.0</v>
      </c>
      <c r="B13" s="3" t="s">
        <v>42</v>
      </c>
      <c r="C13" s="2" t="s">
        <v>43</v>
      </c>
      <c r="D13" s="2">
        <v>1917.0</v>
      </c>
      <c r="E13" s="2">
        <v>1966.0</v>
      </c>
      <c r="F13" s="1" t="b">
        <f t="shared" si="1"/>
        <v>0</v>
      </c>
      <c r="G13" s="2">
        <v>44.247986</v>
      </c>
      <c r="H13" s="2">
        <v>-72.942034</v>
      </c>
      <c r="I13" s="3" t="str">
        <f t="shared" si="3"/>
        <v>#ERROR!</v>
      </c>
      <c r="J13" s="2" t="s">
        <v>44</v>
      </c>
      <c r="K13" s="2" t="b">
        <v>0</v>
      </c>
      <c r="L13" s="2"/>
      <c r="M13" s="2"/>
      <c r="N13" s="2"/>
    </row>
    <row r="14">
      <c r="A14" s="1">
        <v>13.0</v>
      </c>
      <c r="B14" s="3" t="s">
        <v>45</v>
      </c>
      <c r="C14" s="2" t="s">
        <v>46</v>
      </c>
      <c r="D14" s="2">
        <v>1991.0</v>
      </c>
      <c r="E14" s="2"/>
      <c r="F14" s="1" t="b">
        <f t="shared" si="1"/>
        <v>1</v>
      </c>
      <c r="G14" s="2">
        <v>44.6047</v>
      </c>
      <c r="H14" s="2">
        <v>-72.7170159</v>
      </c>
      <c r="I14" s="3" t="str">
        <f t="shared" si="3"/>
        <v>#ERROR!</v>
      </c>
      <c r="J14" s="1" t="s">
        <v>41</v>
      </c>
      <c r="K14" s="2" t="b">
        <v>1</v>
      </c>
    </row>
    <row r="15">
      <c r="A15" s="1">
        <v>14.0</v>
      </c>
      <c r="B15" s="3" t="s">
        <v>47</v>
      </c>
      <c r="C15" s="2" t="s">
        <v>48</v>
      </c>
      <c r="D15" s="2">
        <v>1917.0</v>
      </c>
      <c r="E15" s="2">
        <v>1920.0</v>
      </c>
      <c r="F15" s="1" t="b">
        <f t="shared" si="1"/>
        <v>0</v>
      </c>
      <c r="G15" s="4">
        <v>44.2176235163535</v>
      </c>
      <c r="H15" s="4">
        <v>-72.9289887938855</v>
      </c>
      <c r="J15" s="2" t="s">
        <v>33</v>
      </c>
      <c r="K15" s="2" t="b">
        <v>0</v>
      </c>
      <c r="L15" s="1" t="s">
        <v>49</v>
      </c>
    </row>
    <row r="16">
      <c r="A16" s="1">
        <v>15.0</v>
      </c>
      <c r="B16" s="3" t="s">
        <v>50</v>
      </c>
      <c r="C16" s="2" t="s">
        <v>51</v>
      </c>
      <c r="D16" s="2">
        <v>1947.0</v>
      </c>
      <c r="E16" s="2"/>
      <c r="F16" s="1" t="b">
        <f t="shared" si="1"/>
        <v>1</v>
      </c>
      <c r="G16" s="2">
        <v>44.5682184</v>
      </c>
      <c r="H16" s="2">
        <v>-72.7429219</v>
      </c>
      <c r="I16" s="3" t="str">
        <f>W3WCONVERTTO3WA(G16,H16)</f>
        <v>#ERROR!</v>
      </c>
      <c r="J16" s="2" t="s">
        <v>33</v>
      </c>
      <c r="K16" s="2" t="b">
        <v>1</v>
      </c>
    </row>
    <row r="17">
      <c r="A17" s="1">
        <v>16.0</v>
      </c>
      <c r="B17" s="1" t="s">
        <v>52</v>
      </c>
      <c r="C17" s="1" t="s">
        <v>53</v>
      </c>
      <c r="D17" s="2"/>
      <c r="E17" s="2"/>
      <c r="F17" s="1" t="b">
        <v>0</v>
      </c>
      <c r="G17" s="1">
        <v>44.77337</v>
      </c>
      <c r="H17" s="1">
        <v>-72.550935</v>
      </c>
      <c r="J17" s="2"/>
      <c r="K17" s="1" t="b">
        <v>0</v>
      </c>
    </row>
    <row r="18">
      <c r="A18" s="1">
        <v>17.0</v>
      </c>
      <c r="B18" s="3" t="s">
        <v>54</v>
      </c>
      <c r="C18" s="2" t="s">
        <v>55</v>
      </c>
      <c r="D18" s="2">
        <v>1963.0</v>
      </c>
      <c r="E18" s="2"/>
      <c r="F18" s="1" t="b">
        <f t="shared" ref="F18:F24" si="4">NOT(ISNUMBER(E18))</f>
        <v>1</v>
      </c>
      <c r="G18" s="2">
        <v>43.3640395</v>
      </c>
      <c r="H18" s="2">
        <v>-72.9459718</v>
      </c>
      <c r="I18" s="3" t="str">
        <f t="shared" ref="I18:I20" si="5">W3WCONVERTTO3WA(G18,H18)</f>
        <v>#ERROR!</v>
      </c>
      <c r="J18" s="2" t="s">
        <v>41</v>
      </c>
      <c r="K18" s="2" t="b">
        <v>1</v>
      </c>
    </row>
    <row r="19">
      <c r="A19" s="1">
        <v>18.0</v>
      </c>
      <c r="B19" s="3" t="s">
        <v>56</v>
      </c>
      <c r="C19" s="2" t="s">
        <v>57</v>
      </c>
      <c r="D19" s="2">
        <v>1961.0</v>
      </c>
      <c r="E19" s="2">
        <v>1997.0</v>
      </c>
      <c r="F19" s="1" t="b">
        <f t="shared" si="4"/>
        <v>0</v>
      </c>
      <c r="G19" s="2">
        <v>43.10202</v>
      </c>
      <c r="H19" s="2">
        <v>-72.96649</v>
      </c>
      <c r="I19" s="3" t="str">
        <f t="shared" si="5"/>
        <v>#ERROR!</v>
      </c>
      <c r="K19" s="2" t="b">
        <v>1</v>
      </c>
    </row>
    <row r="20">
      <c r="A20" s="1">
        <v>19.0</v>
      </c>
      <c r="B20" s="3" t="s">
        <v>58</v>
      </c>
      <c r="C20" s="2" t="s">
        <v>59</v>
      </c>
      <c r="D20" s="2">
        <v>1930.0</v>
      </c>
      <c r="E20" s="2"/>
      <c r="F20" s="1" t="b">
        <f t="shared" si="4"/>
        <v>1</v>
      </c>
      <c r="G20" s="2">
        <v>44.236676</v>
      </c>
      <c r="H20" s="2">
        <v>-72.930401</v>
      </c>
      <c r="I20" s="3" t="str">
        <f t="shared" si="5"/>
        <v>#ERROR!</v>
      </c>
      <c r="K20" s="2" t="b">
        <v>1</v>
      </c>
    </row>
    <row r="21">
      <c r="A21" s="6">
        <v>20.0</v>
      </c>
      <c r="B21" s="7" t="s">
        <v>60</v>
      </c>
      <c r="C21" s="8" t="s">
        <v>61</v>
      </c>
      <c r="D21" s="8">
        <v>1913.0</v>
      </c>
      <c r="E21" s="8">
        <v>1930.0</v>
      </c>
      <c r="F21" s="1" t="b">
        <f t="shared" si="4"/>
        <v>0</v>
      </c>
      <c r="G21" s="8">
        <v>44.236676</v>
      </c>
      <c r="H21" s="8">
        <v>-72.930401</v>
      </c>
      <c r="I21" s="7"/>
      <c r="J21" s="7"/>
      <c r="K21" s="8" t="b">
        <v>1</v>
      </c>
      <c r="L21" s="7"/>
      <c r="M21" s="7"/>
      <c r="N21" s="7"/>
      <c r="O21" s="7"/>
      <c r="P21" s="7"/>
      <c r="Q21" s="7"/>
      <c r="R21" s="7"/>
      <c r="S21" s="7"/>
      <c r="T21" s="7"/>
      <c r="U21" s="7"/>
      <c r="V21" s="7"/>
      <c r="W21" s="7"/>
      <c r="X21" s="7"/>
      <c r="Y21" s="7"/>
      <c r="Z21" s="7"/>
      <c r="AA21" s="7"/>
      <c r="AB21" s="7"/>
      <c r="AC21" s="7"/>
    </row>
    <row r="22">
      <c r="A22" s="1">
        <v>21.0</v>
      </c>
      <c r="B22" s="3" t="s">
        <v>62</v>
      </c>
      <c r="C22" s="2" t="s">
        <v>63</v>
      </c>
      <c r="D22" s="2">
        <v>1924.0</v>
      </c>
      <c r="E22" s="2">
        <v>1929.0</v>
      </c>
      <c r="F22" s="1" t="b">
        <f t="shared" si="4"/>
        <v>0</v>
      </c>
      <c r="G22" s="9">
        <v>43.958735</v>
      </c>
      <c r="H22" s="4">
        <v>-72.968788</v>
      </c>
      <c r="J22" s="2" t="s">
        <v>21</v>
      </c>
      <c r="K22" s="2" t="b">
        <v>0</v>
      </c>
      <c r="L22" s="10" t="s">
        <v>64</v>
      </c>
    </row>
    <row r="23">
      <c r="A23" s="1">
        <v>22.0</v>
      </c>
      <c r="B23" s="3" t="s">
        <v>65</v>
      </c>
      <c r="C23" s="2" t="s">
        <v>66</v>
      </c>
      <c r="D23" s="1">
        <v>1930.0</v>
      </c>
      <c r="E23" s="2">
        <v>1949.0</v>
      </c>
      <c r="F23" s="1" t="b">
        <f t="shared" si="4"/>
        <v>0</v>
      </c>
      <c r="G23" s="9">
        <v>43.565</v>
      </c>
      <c r="H23" s="1">
        <v>-72.847338</v>
      </c>
      <c r="J23" s="1" t="s">
        <v>67</v>
      </c>
      <c r="K23" s="2" t="b">
        <v>1</v>
      </c>
    </row>
    <row r="24">
      <c r="A24" s="1">
        <v>24.0</v>
      </c>
      <c r="B24" s="3" t="s">
        <v>68</v>
      </c>
      <c r="C24" s="2" t="s">
        <v>69</v>
      </c>
      <c r="D24" s="2">
        <v>1928.0</v>
      </c>
      <c r="E24" s="2"/>
      <c r="F24" s="1" t="b">
        <f t="shared" si="4"/>
        <v>1</v>
      </c>
      <c r="G24" s="2">
        <v>44.4142363</v>
      </c>
      <c r="H24" s="2">
        <v>-72.8696377</v>
      </c>
      <c r="I24" s="3" t="str">
        <f t="shared" ref="I24:I32" si="6">W3WCONVERTTO3WA(G24,H24)</f>
        <v>#ERROR!</v>
      </c>
      <c r="J24" s="2" t="s">
        <v>70</v>
      </c>
      <c r="K24" s="2" t="b">
        <v>1</v>
      </c>
    </row>
    <row r="25">
      <c r="A25" s="1">
        <v>25.0</v>
      </c>
      <c r="B25" s="1" t="s">
        <v>71</v>
      </c>
      <c r="C25" s="1" t="s">
        <v>72</v>
      </c>
      <c r="D25" s="1"/>
      <c r="F25" s="1" t="b">
        <v>0</v>
      </c>
      <c r="G25" s="2">
        <v>43.1035557</v>
      </c>
      <c r="H25" s="2">
        <v>-73.0055331</v>
      </c>
      <c r="I25" s="3" t="str">
        <f t="shared" si="6"/>
        <v>#ERROR!</v>
      </c>
      <c r="J25" s="1" t="s">
        <v>73</v>
      </c>
      <c r="K25" s="1" t="b">
        <v>0</v>
      </c>
    </row>
    <row r="26">
      <c r="A26" s="1">
        <v>26.0</v>
      </c>
      <c r="B26" s="1" t="s">
        <v>74</v>
      </c>
      <c r="C26" s="2" t="s">
        <v>75</v>
      </c>
      <c r="D26" s="2">
        <v>1965.0</v>
      </c>
      <c r="E26" s="2">
        <v>1983.0</v>
      </c>
      <c r="F26" s="1" t="b">
        <f t="shared" ref="F26:F53" si="7">NOT(ISNUMBER(E26))</f>
        <v>0</v>
      </c>
      <c r="G26" s="2">
        <v>43.109808</v>
      </c>
      <c r="H26" s="2">
        <v>-73.00067</v>
      </c>
      <c r="I26" s="3" t="str">
        <f t="shared" si="6"/>
        <v>#ERROR!</v>
      </c>
      <c r="J26" s="1" t="s">
        <v>76</v>
      </c>
      <c r="K26" s="2" t="b">
        <v>1</v>
      </c>
      <c r="L26" s="1" t="s">
        <v>77</v>
      </c>
    </row>
    <row r="27">
      <c r="A27" s="1">
        <v>27.0</v>
      </c>
      <c r="B27" s="1" t="s">
        <v>78</v>
      </c>
      <c r="C27" s="2" t="s">
        <v>79</v>
      </c>
      <c r="D27" s="2">
        <v>1957.0</v>
      </c>
      <c r="E27" s="2">
        <v>2005.0</v>
      </c>
      <c r="F27" s="1" t="b">
        <f t="shared" si="7"/>
        <v>0</v>
      </c>
      <c r="G27" s="2">
        <v>43.1035557</v>
      </c>
      <c r="H27" s="2">
        <v>-73.0055331</v>
      </c>
      <c r="I27" s="3" t="str">
        <f t="shared" si="6"/>
        <v>#ERROR!</v>
      </c>
      <c r="J27" s="1" t="s">
        <v>80</v>
      </c>
      <c r="K27" s="2" t="b">
        <v>1</v>
      </c>
      <c r="L27" s="1" t="s">
        <v>81</v>
      </c>
    </row>
    <row r="28">
      <c r="A28" s="1">
        <v>28.0</v>
      </c>
      <c r="B28" s="3" t="s">
        <v>82</v>
      </c>
      <c r="C28" s="2" t="s">
        <v>83</v>
      </c>
      <c r="D28" s="2">
        <v>1983.0</v>
      </c>
      <c r="E28" s="2"/>
      <c r="F28" s="1" t="b">
        <f t="shared" si="7"/>
        <v>1</v>
      </c>
      <c r="G28" s="2">
        <v>43.108142</v>
      </c>
      <c r="H28" s="2">
        <v>-73.002863</v>
      </c>
      <c r="I28" s="3" t="str">
        <f t="shared" si="6"/>
        <v>#ERROR!</v>
      </c>
      <c r="J28" s="2" t="s">
        <v>84</v>
      </c>
      <c r="K28" s="2" t="b">
        <v>1</v>
      </c>
    </row>
    <row r="29">
      <c r="A29" s="1">
        <v>29.0</v>
      </c>
      <c r="B29" s="1" t="s">
        <v>85</v>
      </c>
      <c r="C29" s="2" t="s">
        <v>86</v>
      </c>
      <c r="D29" s="2">
        <v>1926.0</v>
      </c>
      <c r="E29" s="2">
        <v>1941.0</v>
      </c>
      <c r="F29" s="1" t="b">
        <f t="shared" si="7"/>
        <v>0</v>
      </c>
      <c r="G29" s="2">
        <v>43.966863</v>
      </c>
      <c r="H29" s="2">
        <v>-72.94786</v>
      </c>
      <c r="I29" s="3" t="str">
        <f t="shared" si="6"/>
        <v>#ERROR!</v>
      </c>
      <c r="J29" s="2" t="s">
        <v>24</v>
      </c>
      <c r="K29" s="2" t="b">
        <v>1</v>
      </c>
    </row>
    <row r="30">
      <c r="A30" s="1">
        <v>30.0</v>
      </c>
      <c r="B30" s="1" t="s">
        <v>87</v>
      </c>
      <c r="C30" s="2" t="s">
        <v>88</v>
      </c>
      <c r="D30" s="2">
        <v>1941.0</v>
      </c>
      <c r="E30" s="2">
        <v>1963.0</v>
      </c>
      <c r="F30" s="1" t="b">
        <f t="shared" si="7"/>
        <v>0</v>
      </c>
      <c r="G30" s="2">
        <v>43.966863</v>
      </c>
      <c r="H30" s="2">
        <v>-72.94786</v>
      </c>
      <c r="I30" s="3" t="str">
        <f t="shared" si="6"/>
        <v>#ERROR!</v>
      </c>
      <c r="J30" s="2" t="s">
        <v>38</v>
      </c>
      <c r="K30" s="2" t="b">
        <v>1</v>
      </c>
    </row>
    <row r="31">
      <c r="A31" s="1">
        <v>31.0</v>
      </c>
      <c r="B31" s="1" t="s">
        <v>89</v>
      </c>
      <c r="C31" s="2" t="s">
        <v>90</v>
      </c>
      <c r="D31" s="2">
        <v>1963.0</v>
      </c>
      <c r="E31" s="2"/>
      <c r="F31" s="1" t="b">
        <f t="shared" si="7"/>
        <v>1</v>
      </c>
      <c r="G31" s="2">
        <v>43.966863</v>
      </c>
      <c r="H31" s="2">
        <v>-72.94786</v>
      </c>
      <c r="I31" s="3" t="str">
        <f t="shared" si="6"/>
        <v>#ERROR!</v>
      </c>
      <c r="J31" s="2" t="s">
        <v>41</v>
      </c>
      <c r="K31" s="2" t="b">
        <v>1</v>
      </c>
    </row>
    <row r="32">
      <c r="A32" s="1">
        <v>32.0</v>
      </c>
      <c r="B32" s="3" t="s">
        <v>91</v>
      </c>
      <c r="C32" s="2" t="s">
        <v>92</v>
      </c>
      <c r="D32" s="1">
        <v>1861.0</v>
      </c>
      <c r="E32" s="2"/>
      <c r="F32" s="1" t="b">
        <f t="shared" si="7"/>
        <v>1</v>
      </c>
      <c r="G32" s="2">
        <v>43.95395</v>
      </c>
      <c r="H32" s="2">
        <v>-72.9933</v>
      </c>
      <c r="I32" s="3" t="str">
        <f t="shared" si="6"/>
        <v>#ERROR!</v>
      </c>
      <c r="J32" s="2" t="s">
        <v>27</v>
      </c>
      <c r="K32" s="2" t="b">
        <v>0</v>
      </c>
    </row>
    <row r="33">
      <c r="A33" s="1">
        <v>33.0</v>
      </c>
      <c r="B33" s="3" t="s">
        <v>93</v>
      </c>
      <c r="C33" s="2" t="s">
        <v>94</v>
      </c>
      <c r="D33" s="2">
        <v>1931.0</v>
      </c>
      <c r="E33" s="2">
        <v>1960.0</v>
      </c>
      <c r="F33" s="1" t="b">
        <f t="shared" si="7"/>
        <v>0</v>
      </c>
      <c r="G33" s="4">
        <v>44.0001384</v>
      </c>
      <c r="H33" s="1">
        <v>-72.9311477</v>
      </c>
      <c r="J33" s="2" t="s">
        <v>24</v>
      </c>
      <c r="K33" s="2" t="b">
        <v>1</v>
      </c>
    </row>
    <row r="34">
      <c r="A34" s="1">
        <v>34.0</v>
      </c>
      <c r="B34" s="3" t="s">
        <v>95</v>
      </c>
      <c r="C34" s="2" t="s">
        <v>96</v>
      </c>
      <c r="D34" s="2">
        <v>1955.0</v>
      </c>
      <c r="E34" s="2">
        <v>1984.0</v>
      </c>
      <c r="F34" s="1" t="b">
        <f t="shared" si="7"/>
        <v>0</v>
      </c>
      <c r="G34" s="2">
        <v>43.2148</v>
      </c>
      <c r="H34" s="2">
        <v>-72.9651</v>
      </c>
      <c r="I34" s="3" t="str">
        <f>W3WCONVERTTO3WA(G34,H34)</f>
        <v>#ERROR!</v>
      </c>
      <c r="J34" s="2" t="s">
        <v>30</v>
      </c>
      <c r="K34" s="2" t="b">
        <v>1</v>
      </c>
    </row>
    <row r="35">
      <c r="A35" s="1">
        <v>35.0</v>
      </c>
      <c r="B35" s="3" t="s">
        <v>97</v>
      </c>
      <c r="C35" s="2" t="s">
        <v>98</v>
      </c>
      <c r="D35" s="2">
        <v>1933.0</v>
      </c>
      <c r="E35" s="1">
        <v>1951.0</v>
      </c>
      <c r="F35" s="1" t="b">
        <f t="shared" si="7"/>
        <v>0</v>
      </c>
      <c r="G35" s="2">
        <v>43.2148</v>
      </c>
      <c r="H35" s="2">
        <v>-72.9651</v>
      </c>
      <c r="K35" s="2" t="b">
        <v>1</v>
      </c>
    </row>
    <row r="36">
      <c r="A36" s="1">
        <v>36.0</v>
      </c>
      <c r="B36" s="3" t="s">
        <v>99</v>
      </c>
      <c r="C36" s="2" t="s">
        <v>100</v>
      </c>
      <c r="D36" s="2">
        <v>2003.0</v>
      </c>
      <c r="E36" s="2"/>
      <c r="F36" s="1" t="b">
        <f t="shared" si="7"/>
        <v>1</v>
      </c>
      <c r="G36" s="2">
        <v>43.222469</v>
      </c>
      <c r="H36" s="2">
        <v>-72.95047</v>
      </c>
      <c r="I36" s="3" t="str">
        <f>W3WCONVERTTO3WA(G36,H36)</f>
        <v>#ERROR!</v>
      </c>
      <c r="J36" s="2" t="s">
        <v>101</v>
      </c>
      <c r="K36" s="2" t="b">
        <v>1</v>
      </c>
      <c r="L36" s="2" t="s">
        <v>102</v>
      </c>
    </row>
    <row r="37">
      <c r="A37" s="1">
        <v>37.0</v>
      </c>
      <c r="B37" s="3" t="s">
        <v>103</v>
      </c>
      <c r="C37" s="2" t="s">
        <v>104</v>
      </c>
      <c r="D37" s="2">
        <v>1985.0</v>
      </c>
      <c r="E37" s="2">
        <v>2003.0</v>
      </c>
      <c r="F37" s="1" t="b">
        <f t="shared" si="7"/>
        <v>0</v>
      </c>
      <c r="G37" s="2">
        <v>43.2148</v>
      </c>
      <c r="H37" s="2">
        <v>-72.9651</v>
      </c>
      <c r="J37" s="2" t="s">
        <v>84</v>
      </c>
      <c r="K37" s="2" t="b">
        <v>1</v>
      </c>
    </row>
    <row r="38">
      <c r="A38" s="1">
        <v>38.0</v>
      </c>
      <c r="B38" s="3" t="s">
        <v>105</v>
      </c>
      <c r="C38" s="2" t="s">
        <v>106</v>
      </c>
      <c r="E38" s="2">
        <v>1928.0</v>
      </c>
      <c r="F38" s="1" t="b">
        <f t="shared" si="7"/>
        <v>0</v>
      </c>
      <c r="G38" s="4">
        <v>44.371324</v>
      </c>
      <c r="H38" s="4">
        <v>-72.87976</v>
      </c>
      <c r="J38" s="2" t="s">
        <v>44</v>
      </c>
      <c r="K38" s="2" t="b">
        <v>0</v>
      </c>
      <c r="M38" s="11"/>
    </row>
    <row r="39">
      <c r="A39" s="12">
        <v>39.0</v>
      </c>
      <c r="B39" s="13" t="s">
        <v>107</v>
      </c>
      <c r="C39" s="14" t="s">
        <v>108</v>
      </c>
      <c r="D39" s="14">
        <v>1930.0</v>
      </c>
      <c r="E39" s="14"/>
      <c r="F39" s="1" t="b">
        <f t="shared" si="7"/>
        <v>1</v>
      </c>
      <c r="G39" s="14">
        <v>44.43256</v>
      </c>
      <c r="H39" s="14">
        <v>-72.8418</v>
      </c>
      <c r="I39" s="13" t="str">
        <f>W3WCONVERTTO3WA(G39,H39)</f>
        <v>#ERROR!</v>
      </c>
      <c r="J39" s="13"/>
      <c r="K39" s="14" t="b">
        <v>1</v>
      </c>
      <c r="L39" s="13"/>
      <c r="M39" s="13"/>
      <c r="N39" s="13"/>
      <c r="O39" s="13"/>
      <c r="P39" s="13"/>
      <c r="Q39" s="13"/>
      <c r="R39" s="13"/>
      <c r="S39" s="13"/>
      <c r="T39" s="13"/>
      <c r="U39" s="13"/>
      <c r="V39" s="13"/>
      <c r="W39" s="13"/>
      <c r="X39" s="13"/>
      <c r="Y39" s="13"/>
      <c r="Z39" s="13"/>
      <c r="AA39" s="13"/>
      <c r="AB39" s="13"/>
      <c r="AC39" s="13"/>
    </row>
    <row r="40">
      <c r="A40" s="1">
        <v>40.0</v>
      </c>
      <c r="B40" s="3" t="s">
        <v>109</v>
      </c>
      <c r="C40" s="2" t="s">
        <v>110</v>
      </c>
      <c r="D40" s="2">
        <v>1964.0</v>
      </c>
      <c r="E40" s="2">
        <v>1978.0</v>
      </c>
      <c r="F40" s="1" t="b">
        <f t="shared" si="7"/>
        <v>0</v>
      </c>
      <c r="G40" s="2">
        <v>44.360572</v>
      </c>
      <c r="H40" s="2">
        <v>-72.876468</v>
      </c>
      <c r="J40" s="1" t="s">
        <v>111</v>
      </c>
      <c r="K40" s="2" t="b">
        <v>1</v>
      </c>
    </row>
    <row r="41">
      <c r="A41" s="1">
        <v>41.0</v>
      </c>
      <c r="B41" s="3" t="s">
        <v>112</v>
      </c>
      <c r="C41" s="2" t="s">
        <v>113</v>
      </c>
      <c r="D41" s="2">
        <v>1984.0</v>
      </c>
      <c r="E41" s="2"/>
      <c r="F41" s="1" t="b">
        <f t="shared" si="7"/>
        <v>1</v>
      </c>
      <c r="G41" s="2">
        <v>44.42742</v>
      </c>
      <c r="H41" s="2">
        <v>-72.87652</v>
      </c>
      <c r="I41" s="3" t="str">
        <f>W3WCONVERTTO3WA(G41,H41)</f>
        <v>#ERROR!</v>
      </c>
      <c r="J41" s="1" t="s">
        <v>114</v>
      </c>
      <c r="K41" s="2" t="b">
        <v>1</v>
      </c>
    </row>
    <row r="42">
      <c r="A42" s="1">
        <v>42.0</v>
      </c>
      <c r="B42" s="3" t="s">
        <v>115</v>
      </c>
      <c r="C42" s="2" t="s">
        <v>116</v>
      </c>
      <c r="D42" s="2">
        <v>1922.0</v>
      </c>
      <c r="E42" s="2">
        <v>1960.0</v>
      </c>
      <c r="F42" s="1" t="b">
        <f t="shared" si="7"/>
        <v>0</v>
      </c>
      <c r="G42" s="1">
        <v>43.468738185325</v>
      </c>
      <c r="H42" s="4">
        <v>-72.919284995438</v>
      </c>
      <c r="J42" s="1" t="s">
        <v>117</v>
      </c>
      <c r="K42" s="2" t="b">
        <v>1</v>
      </c>
    </row>
    <row r="43">
      <c r="A43" s="1">
        <v>43.0</v>
      </c>
      <c r="B43" s="3" t="s">
        <v>118</v>
      </c>
      <c r="C43" s="2" t="s">
        <v>119</v>
      </c>
      <c r="D43" s="2">
        <v>1961.0</v>
      </c>
      <c r="E43" s="2">
        <v>1966.0</v>
      </c>
      <c r="F43" s="1" t="b">
        <f t="shared" si="7"/>
        <v>0</v>
      </c>
      <c r="G43" s="1">
        <v>43.468738185325</v>
      </c>
      <c r="H43" s="4">
        <v>-72.919284995438</v>
      </c>
      <c r="J43" s="1" t="s">
        <v>111</v>
      </c>
      <c r="K43" s="2" t="b">
        <v>1</v>
      </c>
    </row>
    <row r="44">
      <c r="A44" s="1">
        <v>44.0</v>
      </c>
      <c r="B44" s="3" t="s">
        <v>120</v>
      </c>
      <c r="C44" s="2" t="s">
        <v>121</v>
      </c>
      <c r="D44" s="2">
        <v>1970.0</v>
      </c>
      <c r="E44" s="2"/>
      <c r="F44" s="1" t="b">
        <f t="shared" si="7"/>
        <v>1</v>
      </c>
      <c r="G44" s="2">
        <v>44.5706</v>
      </c>
      <c r="H44" s="2">
        <v>-72.74245</v>
      </c>
      <c r="I44" s="3" t="str">
        <f t="shared" ref="I44:I46" si="8">W3WCONVERTTO3WA(G44,H44)</f>
        <v>#ERROR!</v>
      </c>
      <c r="J44" s="1" t="s">
        <v>111</v>
      </c>
      <c r="K44" s="2" t="b">
        <v>0</v>
      </c>
    </row>
    <row r="45">
      <c r="A45" s="1">
        <v>45.0</v>
      </c>
      <c r="B45" s="3" t="s">
        <v>122</v>
      </c>
      <c r="C45" s="2" t="s">
        <v>123</v>
      </c>
      <c r="D45" s="2">
        <v>1933.0</v>
      </c>
      <c r="E45" s="2"/>
      <c r="F45" s="1" t="b">
        <f t="shared" si="7"/>
        <v>1</v>
      </c>
      <c r="G45" s="2">
        <v>44.5155</v>
      </c>
      <c r="H45" s="2">
        <v>-72.8202</v>
      </c>
      <c r="I45" s="3" t="str">
        <f t="shared" si="8"/>
        <v>#ERROR!</v>
      </c>
      <c r="K45" s="2" t="b">
        <v>1</v>
      </c>
    </row>
    <row r="46">
      <c r="A46" s="1">
        <v>46.0</v>
      </c>
      <c r="B46" s="3" t="s">
        <v>124</v>
      </c>
      <c r="C46" s="1" t="s">
        <v>125</v>
      </c>
      <c r="D46" s="2">
        <v>1860.0</v>
      </c>
      <c r="E46" s="2">
        <v>1950.0</v>
      </c>
      <c r="F46" s="1" t="b">
        <f t="shared" si="7"/>
        <v>0</v>
      </c>
      <c r="G46" s="2">
        <v>44.321963</v>
      </c>
      <c r="H46" s="2">
        <v>-72.885574</v>
      </c>
      <c r="I46" s="3" t="str">
        <f t="shared" si="8"/>
        <v>#ERROR!</v>
      </c>
      <c r="J46" s="2" t="s">
        <v>126</v>
      </c>
      <c r="K46" s="2" t="b">
        <v>1</v>
      </c>
    </row>
    <row r="47">
      <c r="A47" s="1">
        <v>47.0</v>
      </c>
      <c r="B47" s="3" t="s">
        <v>127</v>
      </c>
      <c r="C47" s="2" t="s">
        <v>128</v>
      </c>
      <c r="D47" s="2">
        <v>1910.0</v>
      </c>
      <c r="E47" s="2">
        <v>1926.0</v>
      </c>
      <c r="F47" s="1" t="b">
        <f t="shared" si="7"/>
        <v>0</v>
      </c>
      <c r="G47" s="4">
        <v>44.4239137896263</v>
      </c>
      <c r="H47" s="4">
        <v>-72.8540896597858</v>
      </c>
      <c r="J47" s="2" t="s">
        <v>21</v>
      </c>
      <c r="K47" s="2" t="b">
        <v>0</v>
      </c>
      <c r="L47" s="1" t="s">
        <v>129</v>
      </c>
    </row>
    <row r="48">
      <c r="A48" s="1">
        <v>48.0</v>
      </c>
      <c r="B48" s="3" t="s">
        <v>130</v>
      </c>
      <c r="C48" s="2" t="s">
        <v>131</v>
      </c>
      <c r="D48" s="2">
        <v>1948.0</v>
      </c>
      <c r="E48" s="2">
        <v>1956.0</v>
      </c>
      <c r="F48" s="1" t="b">
        <f t="shared" si="7"/>
        <v>0</v>
      </c>
      <c r="G48" s="4">
        <v>42.3494808069199</v>
      </c>
      <c r="H48" s="4">
        <v>-71.8677939867839</v>
      </c>
      <c r="J48" s="15" t="s">
        <v>132</v>
      </c>
      <c r="K48" s="2" t="b">
        <v>1</v>
      </c>
    </row>
    <row r="49">
      <c r="A49" s="1">
        <v>49.0</v>
      </c>
      <c r="B49" s="3" t="s">
        <v>133</v>
      </c>
      <c r="C49" s="2" t="s">
        <v>134</v>
      </c>
      <c r="D49" s="2">
        <v>1945.0</v>
      </c>
      <c r="E49" s="2">
        <v>1948.0</v>
      </c>
      <c r="F49" s="1" t="b">
        <f t="shared" si="7"/>
        <v>0</v>
      </c>
      <c r="G49" s="4">
        <v>42.2788465569904</v>
      </c>
      <c r="H49" s="4">
        <v>-71.8022477445629</v>
      </c>
      <c r="J49" s="1" t="s">
        <v>135</v>
      </c>
      <c r="K49" s="2" t="b">
        <v>1</v>
      </c>
    </row>
    <row r="50">
      <c r="A50" s="1">
        <v>50.0</v>
      </c>
      <c r="B50" s="3" t="s">
        <v>136</v>
      </c>
      <c r="C50" s="2" t="s">
        <v>137</v>
      </c>
      <c r="D50" s="2">
        <v>1917.0</v>
      </c>
      <c r="E50" s="2">
        <v>1926.0</v>
      </c>
      <c r="F50" s="1" t="b">
        <f t="shared" si="7"/>
        <v>0</v>
      </c>
      <c r="G50" s="4">
        <v>42.9515084161452</v>
      </c>
      <c r="H50" s="4">
        <v>-72.9860886051762</v>
      </c>
      <c r="J50" s="2" t="s">
        <v>21</v>
      </c>
      <c r="K50" s="2" t="b">
        <v>0</v>
      </c>
    </row>
    <row r="51">
      <c r="A51" s="1">
        <v>51.0</v>
      </c>
      <c r="B51" s="3" t="s">
        <v>138</v>
      </c>
      <c r="C51" s="2" t="s">
        <v>139</v>
      </c>
      <c r="D51" s="2">
        <v>1921.0</v>
      </c>
      <c r="E51" s="2">
        <v>1922.0</v>
      </c>
      <c r="F51" s="1" t="b">
        <f t="shared" si="7"/>
        <v>0</v>
      </c>
      <c r="G51" s="4">
        <v>43.1295164744423</v>
      </c>
      <c r="H51" s="4">
        <v>-72.9701439856902</v>
      </c>
      <c r="J51" s="2" t="s">
        <v>21</v>
      </c>
      <c r="K51" s="2" t="b">
        <v>0</v>
      </c>
    </row>
    <row r="52">
      <c r="A52" s="12">
        <v>52.0</v>
      </c>
      <c r="B52" s="12" t="s">
        <v>140</v>
      </c>
      <c r="C52" s="12" t="s">
        <v>141</v>
      </c>
      <c r="D52" s="12">
        <v>1917.0</v>
      </c>
      <c r="E52" s="12">
        <v>1930.0</v>
      </c>
      <c r="F52" s="1" t="b">
        <f t="shared" si="7"/>
        <v>0</v>
      </c>
      <c r="G52" s="16">
        <v>43.0609680024179</v>
      </c>
      <c r="H52" s="16">
        <v>-72.9681529074046</v>
      </c>
      <c r="I52" s="14"/>
      <c r="J52" s="14" t="s">
        <v>21</v>
      </c>
      <c r="K52" s="14" t="b">
        <v>1</v>
      </c>
      <c r="L52" s="12" t="s">
        <v>142</v>
      </c>
      <c r="M52" s="12"/>
      <c r="N52" s="14"/>
      <c r="O52" s="14"/>
      <c r="P52" s="17"/>
      <c r="Q52" s="17"/>
      <c r="R52" s="17"/>
      <c r="S52" s="17"/>
      <c r="T52" s="17"/>
      <c r="U52" s="17"/>
      <c r="V52" s="17"/>
      <c r="W52" s="17"/>
      <c r="X52" s="17"/>
      <c r="Y52" s="17"/>
      <c r="Z52" s="17"/>
      <c r="AA52" s="17"/>
      <c r="AB52" s="17"/>
      <c r="AC52" s="17"/>
    </row>
    <row r="53">
      <c r="A53" s="18">
        <v>53.0</v>
      </c>
      <c r="B53" s="18" t="s">
        <v>143</v>
      </c>
      <c r="C53" s="18" t="s">
        <v>144</v>
      </c>
      <c r="D53" s="18">
        <v>1924.0</v>
      </c>
      <c r="E53" s="1">
        <v>1983.0</v>
      </c>
      <c r="F53" s="1" t="b">
        <f t="shared" si="7"/>
        <v>0</v>
      </c>
      <c r="G53" s="1">
        <v>43.0663789516383</v>
      </c>
      <c r="H53" s="1">
        <v>-72.9526682403323</v>
      </c>
      <c r="J53" s="1" t="s">
        <v>145</v>
      </c>
      <c r="K53" s="1" t="b">
        <v>1</v>
      </c>
      <c r="L53" s="18" t="s">
        <v>146</v>
      </c>
      <c r="M53" s="19"/>
      <c r="N53" s="19"/>
      <c r="O53" s="19"/>
      <c r="P53" s="19"/>
      <c r="Q53" s="19"/>
      <c r="R53" s="19"/>
      <c r="S53" s="19"/>
      <c r="T53" s="19"/>
      <c r="U53" s="19"/>
      <c r="V53" s="19"/>
      <c r="W53" s="19"/>
      <c r="X53" s="19"/>
      <c r="Y53" s="19"/>
      <c r="Z53" s="19"/>
      <c r="AA53" s="19"/>
      <c r="AB53" s="19"/>
      <c r="AC53" s="19"/>
    </row>
    <row r="54">
      <c r="A54" s="1">
        <v>54.0</v>
      </c>
      <c r="B54" s="1" t="s">
        <v>147</v>
      </c>
      <c r="C54" s="1" t="s">
        <v>148</v>
      </c>
      <c r="D54" s="1"/>
      <c r="E54" s="2"/>
      <c r="F54" s="1" t="b">
        <v>0</v>
      </c>
      <c r="G54" s="2"/>
      <c r="H54" s="2"/>
      <c r="J54" s="1"/>
      <c r="K54" s="2"/>
    </row>
    <row r="55">
      <c r="A55" s="1">
        <v>55.0</v>
      </c>
      <c r="B55" s="1" t="s">
        <v>149</v>
      </c>
      <c r="C55" s="2" t="s">
        <v>150</v>
      </c>
      <c r="D55" s="1">
        <v>1921.0</v>
      </c>
      <c r="E55" s="2">
        <v>1947.0</v>
      </c>
      <c r="F55" s="1" t="b">
        <f t="shared" ref="F55:F70" si="9">NOT(ISNUMBER(E55))</f>
        <v>0</v>
      </c>
      <c r="G55" s="2">
        <v>43.76784</v>
      </c>
      <c r="H55" s="2">
        <v>-72.92205</v>
      </c>
      <c r="J55" s="1" t="s">
        <v>151</v>
      </c>
      <c r="K55" s="2" t="b">
        <v>0</v>
      </c>
    </row>
    <row r="56">
      <c r="A56" s="1">
        <v>56.0</v>
      </c>
      <c r="B56" s="1" t="s">
        <v>152</v>
      </c>
      <c r="C56" s="2" t="s">
        <v>153</v>
      </c>
      <c r="D56" s="2">
        <v>1949.0</v>
      </c>
      <c r="E56" s="2">
        <v>1976.0</v>
      </c>
      <c r="F56" s="1" t="b">
        <f t="shared" si="9"/>
        <v>0</v>
      </c>
      <c r="G56" s="2">
        <v>43.76784</v>
      </c>
      <c r="H56" s="2">
        <v>-72.92205</v>
      </c>
      <c r="I56" s="3" t="str">
        <f t="shared" ref="I56:I57" si="10">W3WCONVERTTO3WA(G56,H56)</f>
        <v>#ERROR!</v>
      </c>
      <c r="J56" s="1" t="s">
        <v>154</v>
      </c>
      <c r="K56" s="2" t="b">
        <v>1</v>
      </c>
    </row>
    <row r="57">
      <c r="A57" s="1">
        <v>57.0</v>
      </c>
      <c r="B57" s="3" t="s">
        <v>155</v>
      </c>
      <c r="C57" s="2" t="s">
        <v>156</v>
      </c>
      <c r="D57" s="2">
        <v>1931.0</v>
      </c>
      <c r="E57" s="2">
        <v>2017.0</v>
      </c>
      <c r="F57" s="1" t="b">
        <f t="shared" si="9"/>
        <v>0</v>
      </c>
      <c r="G57" s="2">
        <v>43.01553</v>
      </c>
      <c r="H57" s="2">
        <v>-73.0444</v>
      </c>
      <c r="I57" s="3" t="str">
        <f t="shared" si="10"/>
        <v>#ERROR!</v>
      </c>
      <c r="J57" s="2" t="s">
        <v>24</v>
      </c>
      <c r="K57" s="2" t="b">
        <v>1</v>
      </c>
    </row>
    <row r="58">
      <c r="A58" s="1">
        <v>58.0</v>
      </c>
      <c r="B58" s="7" t="s">
        <v>157</v>
      </c>
      <c r="C58" s="2" t="s">
        <v>158</v>
      </c>
      <c r="D58" s="2">
        <v>1959.0</v>
      </c>
      <c r="E58" s="2">
        <v>2010.0</v>
      </c>
      <c r="F58" s="1" t="b">
        <f t="shared" si="9"/>
        <v>0</v>
      </c>
      <c r="G58" s="2">
        <v>42.233597</v>
      </c>
      <c r="H58" s="2">
        <v>-71.9402735</v>
      </c>
      <c r="J58" s="1" t="s">
        <v>159</v>
      </c>
      <c r="K58" s="2" t="b">
        <v>1</v>
      </c>
    </row>
    <row r="59">
      <c r="A59" s="12">
        <v>59.0</v>
      </c>
      <c r="B59" s="13" t="s">
        <v>160</v>
      </c>
      <c r="C59" s="12" t="s">
        <v>161</v>
      </c>
      <c r="D59" s="14">
        <v>1924.0</v>
      </c>
      <c r="E59" s="13"/>
      <c r="F59" s="1" t="b">
        <f t="shared" si="9"/>
        <v>1</v>
      </c>
      <c r="G59" s="13"/>
      <c r="H59" s="13"/>
      <c r="I59" s="13"/>
      <c r="J59" s="13"/>
      <c r="K59" s="14" t="b">
        <v>0</v>
      </c>
      <c r="L59" s="13"/>
      <c r="M59" s="13"/>
      <c r="N59" s="13"/>
      <c r="O59" s="13"/>
      <c r="P59" s="13"/>
      <c r="Q59" s="13"/>
      <c r="R59" s="13"/>
      <c r="S59" s="13"/>
      <c r="T59" s="13"/>
      <c r="U59" s="13"/>
      <c r="V59" s="13"/>
      <c r="W59" s="13"/>
      <c r="X59" s="13"/>
      <c r="Y59" s="13"/>
      <c r="Z59" s="13"/>
      <c r="AA59" s="13"/>
      <c r="AB59" s="13"/>
      <c r="AC59" s="13"/>
    </row>
    <row r="60">
      <c r="A60" s="1">
        <v>60.0</v>
      </c>
      <c r="B60" s="3" t="s">
        <v>162</v>
      </c>
      <c r="C60" s="2" t="s">
        <v>163</v>
      </c>
      <c r="D60" s="2">
        <v>2002.0</v>
      </c>
      <c r="E60" s="2"/>
      <c r="F60" s="1" t="b">
        <f t="shared" si="9"/>
        <v>1</v>
      </c>
      <c r="G60" s="2">
        <v>43.64492</v>
      </c>
      <c r="H60" s="2">
        <v>-72.85338</v>
      </c>
      <c r="I60" s="3" t="str">
        <f t="shared" ref="I60:I61" si="11">W3WCONVERTTO3WA(G60,H60)</f>
        <v>#ERROR!</v>
      </c>
      <c r="J60" s="2" t="s">
        <v>101</v>
      </c>
      <c r="K60" s="2" t="b">
        <v>1</v>
      </c>
      <c r="L60" s="2" t="s">
        <v>102</v>
      </c>
    </row>
    <row r="61">
      <c r="A61" s="1">
        <v>61.0</v>
      </c>
      <c r="B61" s="3" t="s">
        <v>164</v>
      </c>
      <c r="C61" s="2" t="s">
        <v>165</v>
      </c>
      <c r="D61" s="2">
        <v>1921.0</v>
      </c>
      <c r="E61" s="2">
        <v>1951.0</v>
      </c>
      <c r="F61" s="1" t="b">
        <f t="shared" si="9"/>
        <v>0</v>
      </c>
      <c r="G61" s="2">
        <v>42.860441</v>
      </c>
      <c r="H61" s="2">
        <v>73.113795</v>
      </c>
      <c r="I61" s="3" t="str">
        <f t="shared" si="11"/>
        <v>#ERROR!</v>
      </c>
      <c r="J61" s="1" t="s">
        <v>166</v>
      </c>
      <c r="K61" s="2" t="b">
        <v>1</v>
      </c>
    </row>
    <row r="62">
      <c r="A62" s="1">
        <v>62.0</v>
      </c>
      <c r="B62" s="3" t="s">
        <v>167</v>
      </c>
      <c r="C62" s="2" t="s">
        <v>168</v>
      </c>
      <c r="D62" s="2">
        <v>1952.0</v>
      </c>
      <c r="E62" s="1">
        <v>1971.0</v>
      </c>
      <c r="F62" s="1" t="b">
        <f t="shared" si="9"/>
        <v>0</v>
      </c>
      <c r="G62" s="2">
        <v>42.860441</v>
      </c>
      <c r="H62" s="2">
        <v>73.113795</v>
      </c>
      <c r="J62" s="1" t="s">
        <v>41</v>
      </c>
      <c r="K62" s="2" t="b">
        <v>1</v>
      </c>
    </row>
    <row r="63">
      <c r="A63" s="1">
        <v>63.0</v>
      </c>
      <c r="B63" s="3" t="s">
        <v>169</v>
      </c>
      <c r="C63" s="2" t="s">
        <v>170</v>
      </c>
      <c r="D63" s="2">
        <v>1952.0</v>
      </c>
      <c r="E63" s="2"/>
      <c r="F63" s="1" t="b">
        <f t="shared" si="9"/>
        <v>1</v>
      </c>
      <c r="G63" s="2">
        <v>43.52366</v>
      </c>
      <c r="H63" s="2">
        <v>-72.91264</v>
      </c>
      <c r="I63" s="3" t="str">
        <f t="shared" ref="I63:I64" si="12">W3WCONVERTTO3WA(G63,H63)</f>
        <v>#ERROR!</v>
      </c>
      <c r="J63" s="1" t="s">
        <v>171</v>
      </c>
      <c r="K63" s="2" t="b">
        <v>1</v>
      </c>
    </row>
    <row r="64">
      <c r="A64" s="1">
        <v>64.0</v>
      </c>
      <c r="B64" s="3" t="s">
        <v>172</v>
      </c>
      <c r="C64" s="2" t="s">
        <v>173</v>
      </c>
      <c r="D64" s="2">
        <v>1995.0</v>
      </c>
      <c r="E64" s="2"/>
      <c r="F64" s="1" t="b">
        <f t="shared" si="9"/>
        <v>1</v>
      </c>
      <c r="G64" s="2">
        <v>43.69207</v>
      </c>
      <c r="H64" s="2">
        <v>-72.49314</v>
      </c>
      <c r="I64" s="3" t="str">
        <f t="shared" si="12"/>
        <v>#ERROR!</v>
      </c>
      <c r="J64" s="2" t="s">
        <v>41</v>
      </c>
      <c r="K64" s="2" t="b">
        <v>0</v>
      </c>
    </row>
    <row r="65">
      <c r="A65" s="1">
        <v>65.0</v>
      </c>
      <c r="B65" s="3" t="s">
        <v>174</v>
      </c>
      <c r="C65" s="2" t="s">
        <v>175</v>
      </c>
      <c r="D65" s="2">
        <v>1967.0</v>
      </c>
      <c r="E65" s="2"/>
      <c r="F65" s="1" t="b">
        <f t="shared" si="9"/>
        <v>1</v>
      </c>
      <c r="G65" s="2">
        <v>42.848035</v>
      </c>
      <c r="H65" s="2">
        <v>-73.110014</v>
      </c>
      <c r="I65" s="2" t="s">
        <v>176</v>
      </c>
      <c r="J65" s="2" t="s">
        <v>41</v>
      </c>
      <c r="K65" s="2" t="b">
        <v>1</v>
      </c>
      <c r="L65" s="2"/>
      <c r="M65" s="2">
        <v>10.0</v>
      </c>
    </row>
    <row r="66">
      <c r="A66" s="12">
        <v>66.0</v>
      </c>
      <c r="B66" s="1" t="s">
        <v>177</v>
      </c>
      <c r="C66" s="14" t="s">
        <v>178</v>
      </c>
      <c r="D66" s="2">
        <v>1919.0</v>
      </c>
      <c r="E66" s="2">
        <v>1947.0</v>
      </c>
      <c r="F66" s="1" t="b">
        <f t="shared" si="9"/>
        <v>0</v>
      </c>
      <c r="G66" s="1">
        <v>44.049739</v>
      </c>
      <c r="H66" s="4">
        <v>-72.91402</v>
      </c>
      <c r="J66" s="2" t="s">
        <v>24</v>
      </c>
      <c r="K66" s="14" t="b">
        <v>1</v>
      </c>
      <c r="L66" s="13"/>
      <c r="M66" s="13"/>
      <c r="N66" s="13"/>
      <c r="O66" s="13"/>
      <c r="P66" s="13"/>
      <c r="Q66" s="13"/>
      <c r="R66" s="13"/>
      <c r="S66" s="13"/>
      <c r="T66" s="13"/>
      <c r="U66" s="13"/>
      <c r="V66" s="13"/>
      <c r="W66" s="13"/>
      <c r="X66" s="13"/>
      <c r="Y66" s="13"/>
      <c r="Z66" s="13"/>
      <c r="AA66" s="13"/>
      <c r="AB66" s="13"/>
      <c r="AC66" s="13"/>
    </row>
    <row r="67">
      <c r="A67" s="1">
        <v>67.0</v>
      </c>
      <c r="B67" s="1" t="s">
        <v>179</v>
      </c>
      <c r="C67" s="2" t="s">
        <v>180</v>
      </c>
      <c r="D67" s="2">
        <v>1949.0</v>
      </c>
      <c r="E67" s="2">
        <v>1964.0</v>
      </c>
      <c r="F67" s="1" t="b">
        <f t="shared" si="9"/>
        <v>0</v>
      </c>
      <c r="G67" s="2">
        <v>44.049739</v>
      </c>
      <c r="H67" s="2">
        <v>-72.91402</v>
      </c>
      <c r="J67" s="1" t="s">
        <v>24</v>
      </c>
      <c r="K67" s="2" t="b">
        <v>1</v>
      </c>
    </row>
    <row r="68">
      <c r="A68" s="1">
        <v>68.0</v>
      </c>
      <c r="B68" s="1" t="s">
        <v>181</v>
      </c>
      <c r="C68" s="2" t="s">
        <v>182</v>
      </c>
      <c r="D68" s="2">
        <v>1965.0</v>
      </c>
      <c r="E68" s="2"/>
      <c r="F68" s="1" t="b">
        <f t="shared" si="9"/>
        <v>1</v>
      </c>
      <c r="G68" s="2">
        <v>44.049739</v>
      </c>
      <c r="H68" s="2">
        <v>-72.91402</v>
      </c>
      <c r="I68" s="2" t="s">
        <v>183</v>
      </c>
      <c r="J68" s="2" t="s">
        <v>41</v>
      </c>
      <c r="K68" s="2" t="b">
        <v>1</v>
      </c>
    </row>
    <row r="69">
      <c r="A69" s="1">
        <v>69.0</v>
      </c>
      <c r="B69" s="3" t="s">
        <v>184</v>
      </c>
      <c r="C69" s="2" t="s">
        <v>185</v>
      </c>
      <c r="D69" s="2">
        <v>1939.0</v>
      </c>
      <c r="E69" s="2"/>
      <c r="F69" s="1" t="b">
        <f t="shared" si="9"/>
        <v>1</v>
      </c>
      <c r="G69" s="2">
        <v>43.60606</v>
      </c>
      <c r="H69" s="2">
        <v>-72.82245</v>
      </c>
      <c r="I69" s="3" t="str">
        <f t="shared" ref="I69:I70" si="13">W3WCONVERTTO3WA(G69,H69)</f>
        <v>#ERROR!</v>
      </c>
      <c r="J69" s="2" t="s">
        <v>70</v>
      </c>
      <c r="K69" s="1" t="b">
        <v>1</v>
      </c>
      <c r="L69" s="10" t="s">
        <v>186</v>
      </c>
      <c r="P69" s="20"/>
    </row>
    <row r="70">
      <c r="A70" s="1">
        <v>70.0</v>
      </c>
      <c r="B70" s="3" t="s">
        <v>187</v>
      </c>
      <c r="C70" s="2" t="s">
        <v>188</v>
      </c>
      <c r="D70" s="2">
        <v>1989.0</v>
      </c>
      <c r="E70" s="2"/>
      <c r="F70" s="1" t="b">
        <f t="shared" si="9"/>
        <v>1</v>
      </c>
      <c r="G70" s="2">
        <v>44.70602</v>
      </c>
      <c r="H70" s="2">
        <v>-72.68425</v>
      </c>
      <c r="I70" s="3" t="str">
        <f t="shared" si="13"/>
        <v>#ERROR!</v>
      </c>
      <c r="J70" s="1" t="s">
        <v>159</v>
      </c>
      <c r="K70" s="2" t="b">
        <v>1</v>
      </c>
    </row>
    <row r="71">
      <c r="A71" s="1">
        <v>71.0</v>
      </c>
      <c r="B71" s="1" t="s">
        <v>189</v>
      </c>
      <c r="C71" s="2" t="s">
        <v>190</v>
      </c>
      <c r="D71" s="1">
        <v>1920.0</v>
      </c>
      <c r="E71" s="1"/>
      <c r="F71" s="1" t="b">
        <v>0</v>
      </c>
      <c r="G71" s="2">
        <v>44.25507</v>
      </c>
      <c r="H71" s="2">
        <v>-72.90549</v>
      </c>
      <c r="J71" s="1" t="s">
        <v>80</v>
      </c>
      <c r="K71" s="2" t="b">
        <v>1</v>
      </c>
    </row>
    <row r="72">
      <c r="A72" s="1">
        <v>72.0</v>
      </c>
      <c r="B72" s="1" t="s">
        <v>191</v>
      </c>
      <c r="C72" s="2" t="s">
        <v>192</v>
      </c>
      <c r="D72" s="2">
        <v>1956.0</v>
      </c>
      <c r="E72" s="2"/>
      <c r="F72" s="1" t="b">
        <f t="shared" ref="F72:F267" si="14">NOT(ISNUMBER(E72))</f>
        <v>1</v>
      </c>
      <c r="G72" s="2">
        <v>44.25507</v>
      </c>
      <c r="H72" s="2">
        <v>-72.90549</v>
      </c>
      <c r="I72" s="3" t="str">
        <f t="shared" ref="I72:I73" si="15">W3WCONVERTTO3WA(G72,H72)</f>
        <v>#ERROR!</v>
      </c>
      <c r="J72" s="2" t="s">
        <v>38</v>
      </c>
      <c r="K72" s="2" t="b">
        <v>1</v>
      </c>
    </row>
    <row r="73">
      <c r="A73" s="1">
        <v>73.0</v>
      </c>
      <c r="B73" s="3" t="s">
        <v>193</v>
      </c>
      <c r="C73" s="2" t="s">
        <v>194</v>
      </c>
      <c r="D73" s="2">
        <v>1976.0</v>
      </c>
      <c r="E73" s="2"/>
      <c r="F73" s="1" t="b">
        <f t="shared" si="14"/>
        <v>1</v>
      </c>
      <c r="G73" s="2">
        <v>43.76789</v>
      </c>
      <c r="H73" s="2">
        <v>-72.9224</v>
      </c>
      <c r="I73" s="3" t="str">
        <f t="shared" si="15"/>
        <v>#ERROR!</v>
      </c>
      <c r="J73" s="2" t="s">
        <v>41</v>
      </c>
      <c r="K73" s="2" t="b">
        <v>1</v>
      </c>
    </row>
    <row r="74">
      <c r="A74" s="6">
        <v>74.0</v>
      </c>
      <c r="B74" s="7" t="s">
        <v>195</v>
      </c>
      <c r="C74" s="8" t="s">
        <v>196</v>
      </c>
      <c r="D74" s="8">
        <v>1920.0</v>
      </c>
      <c r="E74" s="8">
        <v>1929.0</v>
      </c>
      <c r="F74" s="1" t="b">
        <f t="shared" si="14"/>
        <v>0</v>
      </c>
      <c r="G74" s="8">
        <v>41.2574318</v>
      </c>
      <c r="H74" s="8">
        <v>-74.0974383</v>
      </c>
      <c r="I74" s="7"/>
      <c r="J74" s="6" t="s">
        <v>41</v>
      </c>
      <c r="K74" s="8" t="b">
        <v>1</v>
      </c>
      <c r="L74" s="6" t="s">
        <v>197</v>
      </c>
      <c r="M74" s="7"/>
      <c r="N74" s="7"/>
      <c r="O74" s="7"/>
      <c r="P74" s="7"/>
      <c r="Q74" s="7"/>
      <c r="R74" s="7"/>
      <c r="S74" s="7"/>
      <c r="T74" s="7"/>
      <c r="U74" s="7"/>
      <c r="V74" s="7"/>
      <c r="W74" s="7"/>
      <c r="X74" s="7"/>
      <c r="Y74" s="7"/>
      <c r="Z74" s="7"/>
      <c r="AA74" s="7"/>
      <c r="AB74" s="7"/>
      <c r="AC74" s="7"/>
    </row>
    <row r="75">
      <c r="A75" s="1">
        <v>75.0</v>
      </c>
      <c r="B75" s="3" t="s">
        <v>198</v>
      </c>
      <c r="C75" s="2" t="s">
        <v>199</v>
      </c>
      <c r="D75" s="2">
        <v>1959.0</v>
      </c>
      <c r="E75" s="2">
        <v>1966.0</v>
      </c>
      <c r="F75" s="1" t="b">
        <f t="shared" si="14"/>
        <v>0</v>
      </c>
      <c r="G75" s="2">
        <v>42.848035</v>
      </c>
      <c r="H75" s="2">
        <v>-73.110014</v>
      </c>
      <c r="J75" s="6" t="s">
        <v>41</v>
      </c>
      <c r="K75" s="2" t="b">
        <v>1</v>
      </c>
    </row>
    <row r="76">
      <c r="A76" s="1">
        <v>76.0</v>
      </c>
      <c r="B76" s="3" t="s">
        <v>200</v>
      </c>
      <c r="C76" s="1" t="s">
        <v>201</v>
      </c>
      <c r="D76" s="2">
        <v>1923.0</v>
      </c>
      <c r="E76" s="2">
        <v>1939.0</v>
      </c>
      <c r="F76" s="1" t="b">
        <f t="shared" si="14"/>
        <v>0</v>
      </c>
      <c r="G76" s="1">
        <v>43.6644043395089</v>
      </c>
      <c r="H76" s="21">
        <v>-72.8327380281213</v>
      </c>
      <c r="J76" s="6" t="s">
        <v>41</v>
      </c>
      <c r="K76" s="2" t="b">
        <v>1</v>
      </c>
    </row>
    <row r="77">
      <c r="A77" s="6">
        <v>77.0</v>
      </c>
      <c r="B77" s="7" t="s">
        <v>202</v>
      </c>
      <c r="C77" s="6" t="s">
        <v>203</v>
      </c>
      <c r="D77" s="8">
        <v>1939.0</v>
      </c>
      <c r="E77" s="8">
        <v>1977.0</v>
      </c>
      <c r="F77" s="1" t="b">
        <f t="shared" si="14"/>
        <v>0</v>
      </c>
      <c r="G77" s="6">
        <v>43.6644043395089</v>
      </c>
      <c r="H77" s="21">
        <v>-72.8327380281213</v>
      </c>
      <c r="I77" s="7"/>
      <c r="J77" s="6" t="s">
        <v>41</v>
      </c>
      <c r="K77" s="8" t="b">
        <v>1</v>
      </c>
      <c r="L77" s="6" t="s">
        <v>204</v>
      </c>
      <c r="M77" s="7"/>
      <c r="N77" s="7"/>
      <c r="O77" s="7"/>
      <c r="P77" s="7"/>
      <c r="Q77" s="7"/>
      <c r="R77" s="7"/>
      <c r="S77" s="7"/>
      <c r="T77" s="7"/>
      <c r="U77" s="7"/>
      <c r="V77" s="7"/>
      <c r="W77" s="7"/>
      <c r="X77" s="7"/>
      <c r="Y77" s="7"/>
      <c r="Z77" s="7"/>
      <c r="AA77" s="7"/>
      <c r="AB77" s="7"/>
      <c r="AC77" s="7"/>
    </row>
    <row r="78">
      <c r="A78" s="1">
        <v>78.0</v>
      </c>
      <c r="B78" s="3" t="s">
        <v>205</v>
      </c>
      <c r="C78" s="2" t="s">
        <v>206</v>
      </c>
      <c r="D78" s="1">
        <v>1966.0</v>
      </c>
      <c r="E78" s="2"/>
      <c r="F78" s="1" t="b">
        <f t="shared" si="14"/>
        <v>1</v>
      </c>
      <c r="G78" s="2">
        <v>44.39119</v>
      </c>
      <c r="H78" s="2">
        <v>-72.91795</v>
      </c>
      <c r="I78" s="3" t="str">
        <f>W3WCONVERTTO3WA(G78,H78)</f>
        <v>#ERROR!</v>
      </c>
      <c r="J78" s="2" t="s">
        <v>41</v>
      </c>
      <c r="K78" s="2" t="b">
        <v>1</v>
      </c>
    </row>
    <row r="79">
      <c r="A79" s="6">
        <v>79.0</v>
      </c>
      <c r="B79" s="7" t="s">
        <v>207</v>
      </c>
      <c r="C79" s="8" t="s">
        <v>208</v>
      </c>
      <c r="D79" s="6">
        <v>1917.0</v>
      </c>
      <c r="E79" s="8">
        <v>1927.0</v>
      </c>
      <c r="F79" s="1" t="b">
        <f t="shared" si="14"/>
        <v>0</v>
      </c>
      <c r="G79" s="6">
        <v>43.1007853269368</v>
      </c>
      <c r="H79" s="21">
        <v>-72.9474806536071</v>
      </c>
      <c r="I79" s="7"/>
      <c r="J79" s="8" t="s">
        <v>21</v>
      </c>
      <c r="K79" s="8" t="b">
        <v>0</v>
      </c>
      <c r="L79" s="7"/>
      <c r="M79" s="7"/>
      <c r="N79" s="7"/>
      <c r="O79" s="7"/>
      <c r="P79" s="7"/>
      <c r="Q79" s="7"/>
      <c r="R79" s="7"/>
      <c r="S79" s="7"/>
      <c r="T79" s="7"/>
      <c r="U79" s="7"/>
      <c r="V79" s="7"/>
      <c r="W79" s="7"/>
      <c r="X79" s="7"/>
      <c r="Y79" s="7"/>
      <c r="Z79" s="7"/>
      <c r="AA79" s="7"/>
      <c r="AB79" s="7"/>
      <c r="AC79" s="7"/>
    </row>
    <row r="80">
      <c r="A80" s="1">
        <v>80.0</v>
      </c>
      <c r="B80" s="3" t="s">
        <v>209</v>
      </c>
      <c r="C80" s="2" t="s">
        <v>210</v>
      </c>
      <c r="D80" s="2">
        <v>1925.0</v>
      </c>
      <c r="E80" s="2">
        <v>1925.0</v>
      </c>
      <c r="F80" s="1" t="b">
        <f t="shared" si="14"/>
        <v>0</v>
      </c>
      <c r="G80" s="1">
        <v>43.2346259148113</v>
      </c>
      <c r="H80" s="21">
        <v>-72.8890842484386</v>
      </c>
      <c r="J80" s="1" t="s">
        <v>211</v>
      </c>
      <c r="K80" s="2" t="b">
        <v>0</v>
      </c>
      <c r="L80" s="1" t="s">
        <v>212</v>
      </c>
    </row>
    <row r="81">
      <c r="A81" s="6">
        <v>81.0</v>
      </c>
      <c r="B81" s="7" t="s">
        <v>213</v>
      </c>
      <c r="C81" s="8" t="s">
        <v>214</v>
      </c>
      <c r="D81" s="6">
        <v>1912.0</v>
      </c>
      <c r="E81" s="8">
        <v>1932.0</v>
      </c>
      <c r="F81" s="1" t="b">
        <f t="shared" si="14"/>
        <v>0</v>
      </c>
      <c r="G81" s="6">
        <v>44.4351700751305</v>
      </c>
      <c r="H81" s="22">
        <v>-72.8445083657727</v>
      </c>
      <c r="I81" s="7"/>
      <c r="J81" s="6" t="s">
        <v>215</v>
      </c>
      <c r="K81" s="8" t="b">
        <v>1</v>
      </c>
      <c r="N81" s="7"/>
      <c r="O81" s="7"/>
      <c r="P81" s="7"/>
      <c r="Q81" s="7"/>
      <c r="R81" s="7"/>
      <c r="S81" s="7"/>
      <c r="T81" s="7"/>
      <c r="U81" s="7"/>
      <c r="V81" s="7"/>
      <c r="W81" s="7"/>
      <c r="X81" s="7"/>
      <c r="Y81" s="7"/>
      <c r="Z81" s="7"/>
      <c r="AA81" s="7"/>
      <c r="AB81" s="7"/>
      <c r="AC81" s="7"/>
    </row>
    <row r="82">
      <c r="A82" s="1">
        <v>82.0</v>
      </c>
      <c r="B82" s="1" t="s">
        <v>216</v>
      </c>
      <c r="C82" s="1" t="s">
        <v>217</v>
      </c>
      <c r="D82" s="2">
        <v>1962.0</v>
      </c>
      <c r="E82" s="2">
        <v>1972.0</v>
      </c>
      <c r="F82" s="1" t="b">
        <f t="shared" si="14"/>
        <v>0</v>
      </c>
      <c r="G82" s="1">
        <v>43.3986051125589</v>
      </c>
      <c r="H82" s="23">
        <v>-72.9553976411466</v>
      </c>
      <c r="J82" s="2" t="s">
        <v>41</v>
      </c>
      <c r="K82" s="2" t="b">
        <v>1</v>
      </c>
      <c r="L82" s="1" t="s">
        <v>218</v>
      </c>
    </row>
    <row r="83">
      <c r="A83" s="1">
        <v>83.0</v>
      </c>
      <c r="B83" s="3" t="s">
        <v>219</v>
      </c>
      <c r="C83" s="2" t="s">
        <v>220</v>
      </c>
      <c r="D83" s="2">
        <v>1903.0</v>
      </c>
      <c r="E83" s="2">
        <v>1926.0</v>
      </c>
      <c r="F83" s="1" t="b">
        <f t="shared" si="14"/>
        <v>0</v>
      </c>
      <c r="G83" s="1">
        <v>44.1600562574962</v>
      </c>
      <c r="H83" s="4">
        <v>-72.929664430502</v>
      </c>
      <c r="J83" s="1" t="s">
        <v>221</v>
      </c>
      <c r="K83" s="2" t="b">
        <v>0</v>
      </c>
    </row>
    <row r="84">
      <c r="A84" s="1">
        <v>84.0</v>
      </c>
      <c r="B84" s="1" t="s">
        <v>222</v>
      </c>
      <c r="C84" s="2" t="s">
        <v>223</v>
      </c>
      <c r="D84" s="2">
        <v>1913.0</v>
      </c>
      <c r="E84" s="2">
        <v>1939.0</v>
      </c>
      <c r="F84" s="1" t="b">
        <f t="shared" si="14"/>
        <v>0</v>
      </c>
      <c r="G84" s="1">
        <v>-72.9335939</v>
      </c>
      <c r="H84" s="23">
        <v>44.0102543</v>
      </c>
      <c r="J84" s="1" t="s">
        <v>111</v>
      </c>
      <c r="K84" s="2" t="b">
        <v>1</v>
      </c>
      <c r="L84" s="24" t="s">
        <v>224</v>
      </c>
    </row>
    <row r="85">
      <c r="A85" s="1">
        <v>85.0</v>
      </c>
      <c r="B85" s="1" t="s">
        <v>225</v>
      </c>
      <c r="C85" s="2" t="s">
        <v>226</v>
      </c>
      <c r="D85" s="2">
        <v>1939.0</v>
      </c>
      <c r="E85" s="2">
        <v>1959.0</v>
      </c>
      <c r="F85" s="1" t="b">
        <f t="shared" si="14"/>
        <v>0</v>
      </c>
      <c r="G85" s="1">
        <v>-72.9335939</v>
      </c>
      <c r="H85" s="23">
        <v>44.0102543</v>
      </c>
      <c r="J85" s="1" t="s">
        <v>111</v>
      </c>
      <c r="K85" s="2" t="b">
        <v>1</v>
      </c>
      <c r="L85" s="1" t="s">
        <v>227</v>
      </c>
    </row>
    <row r="86">
      <c r="A86" s="1">
        <v>86.0</v>
      </c>
      <c r="B86" s="3" t="s">
        <v>228</v>
      </c>
      <c r="C86" s="2" t="s">
        <v>229</v>
      </c>
      <c r="D86" s="2">
        <v>1960.0</v>
      </c>
      <c r="E86" s="2"/>
      <c r="F86" s="1" t="b">
        <f t="shared" si="14"/>
        <v>1</v>
      </c>
      <c r="G86" s="2">
        <v>44.00147</v>
      </c>
      <c r="H86" s="2">
        <v>-72.93212</v>
      </c>
      <c r="I86" s="3" t="str">
        <f t="shared" ref="I86:I87" si="16">W3WCONVERTTO3WA(G86,H86)</f>
        <v>#ERROR!</v>
      </c>
      <c r="J86" s="1" t="s">
        <v>230</v>
      </c>
      <c r="K86" s="2" t="b">
        <v>1</v>
      </c>
    </row>
    <row r="87">
      <c r="A87" s="1">
        <v>87.0</v>
      </c>
      <c r="B87" s="3" t="s">
        <v>231</v>
      </c>
      <c r="C87" s="2" t="s">
        <v>232</v>
      </c>
      <c r="D87" s="2">
        <v>1930.0</v>
      </c>
      <c r="E87" s="2">
        <v>1972.0</v>
      </c>
      <c r="F87" s="1" t="b">
        <f t="shared" si="14"/>
        <v>0</v>
      </c>
      <c r="G87" s="2">
        <v>42.91258</v>
      </c>
      <c r="H87" s="2">
        <v>-73.11011</v>
      </c>
      <c r="I87" s="3" t="str">
        <f t="shared" si="16"/>
        <v>#ERROR!</v>
      </c>
      <c r="J87" s="1" t="s">
        <v>233</v>
      </c>
      <c r="K87" s="2" t="b">
        <v>1</v>
      </c>
    </row>
    <row r="88">
      <c r="A88" s="12">
        <v>88.0</v>
      </c>
      <c r="B88" s="13" t="s">
        <v>234</v>
      </c>
      <c r="C88" s="14" t="s">
        <v>235</v>
      </c>
      <c r="D88" s="14">
        <v>1928.0</v>
      </c>
      <c r="E88" s="14">
        <v>1947.0</v>
      </c>
      <c r="F88" s="1" t="b">
        <f t="shared" si="14"/>
        <v>0</v>
      </c>
      <c r="G88" s="16">
        <v>44.8374861878341</v>
      </c>
      <c r="H88" s="16">
        <v>-72.5254138946566</v>
      </c>
      <c r="I88" s="13"/>
      <c r="J88" s="12" t="s">
        <v>236</v>
      </c>
      <c r="K88" s="14" t="b">
        <v>1</v>
      </c>
      <c r="L88" s="13"/>
      <c r="M88" s="12"/>
      <c r="N88" s="13"/>
      <c r="O88" s="13"/>
      <c r="P88" s="13"/>
      <c r="Q88" s="13"/>
      <c r="R88" s="13"/>
      <c r="S88" s="13"/>
      <c r="T88" s="13"/>
      <c r="U88" s="13"/>
      <c r="V88" s="13"/>
      <c r="W88" s="13"/>
      <c r="X88" s="13"/>
      <c r="Y88" s="13"/>
      <c r="Z88" s="13"/>
      <c r="AA88" s="13"/>
      <c r="AB88" s="13"/>
      <c r="AC88" s="13"/>
    </row>
    <row r="89">
      <c r="A89" s="1">
        <v>89.0</v>
      </c>
      <c r="B89" s="3" t="s">
        <v>237</v>
      </c>
      <c r="C89" s="2" t="s">
        <v>238</v>
      </c>
      <c r="D89" s="2">
        <v>1931.0</v>
      </c>
      <c r="E89" s="2">
        <v>1992.0</v>
      </c>
      <c r="F89" s="1" t="b">
        <f t="shared" si="14"/>
        <v>0</v>
      </c>
      <c r="G89" s="1">
        <v>44.6192297454627</v>
      </c>
      <c r="H89" s="25">
        <v>-72.7216552633015</v>
      </c>
      <c r="J89" s="1" t="s">
        <v>111</v>
      </c>
      <c r="K89" s="2" t="b">
        <v>1</v>
      </c>
    </row>
    <row r="90">
      <c r="A90" s="6">
        <v>90.0</v>
      </c>
      <c r="B90" s="7" t="s">
        <v>239</v>
      </c>
      <c r="C90" s="8" t="s">
        <v>240</v>
      </c>
      <c r="D90" s="6">
        <v>1924.0</v>
      </c>
      <c r="E90" s="8">
        <v>1935.0</v>
      </c>
      <c r="F90" s="1" t="b">
        <f t="shared" si="14"/>
        <v>0</v>
      </c>
      <c r="G90" s="6">
        <v>44.5990690298434</v>
      </c>
      <c r="H90" s="22">
        <v>-72.7194748314834</v>
      </c>
      <c r="I90" s="7"/>
      <c r="J90" s="6" t="s">
        <v>241</v>
      </c>
      <c r="K90" s="8" t="b">
        <v>1</v>
      </c>
      <c r="L90" s="6" t="s">
        <v>242</v>
      </c>
      <c r="M90" s="7"/>
      <c r="N90" s="7"/>
      <c r="O90" s="7"/>
      <c r="P90" s="7"/>
      <c r="Q90" s="7"/>
      <c r="R90" s="7"/>
      <c r="S90" s="7"/>
      <c r="T90" s="7"/>
      <c r="U90" s="7"/>
      <c r="V90" s="7"/>
      <c r="W90" s="7"/>
      <c r="X90" s="7"/>
      <c r="Y90" s="7"/>
      <c r="Z90" s="7"/>
      <c r="AA90" s="7"/>
      <c r="AB90" s="7"/>
      <c r="AC90" s="7"/>
    </row>
    <row r="91">
      <c r="A91" s="6">
        <v>91.0</v>
      </c>
      <c r="B91" s="7" t="s">
        <v>243</v>
      </c>
      <c r="C91" s="8" t="s">
        <v>244</v>
      </c>
      <c r="D91" s="6">
        <v>1940.0</v>
      </c>
      <c r="E91" s="8"/>
      <c r="F91" s="1" t="b">
        <f t="shared" si="14"/>
        <v>1</v>
      </c>
      <c r="G91" s="8">
        <v>43.67434</v>
      </c>
      <c r="H91" s="8">
        <v>-72.81242</v>
      </c>
      <c r="I91" s="7" t="str">
        <f t="shared" ref="I91:I92" si="17">W3WCONVERTTO3WA(G91,H91)</f>
        <v>#ERROR!</v>
      </c>
      <c r="J91" s="6" t="s">
        <v>245</v>
      </c>
      <c r="K91" s="8" t="b">
        <v>0</v>
      </c>
      <c r="L91" s="6" t="s">
        <v>246</v>
      </c>
      <c r="M91" s="7"/>
      <c r="N91" s="7"/>
      <c r="O91" s="7"/>
      <c r="P91" s="7"/>
      <c r="Q91" s="7"/>
      <c r="R91" s="7"/>
      <c r="S91" s="7"/>
      <c r="T91" s="7"/>
      <c r="U91" s="7"/>
      <c r="V91" s="7"/>
      <c r="W91" s="7"/>
      <c r="X91" s="7"/>
      <c r="Y91" s="7"/>
      <c r="Z91" s="7"/>
      <c r="AA91" s="7"/>
      <c r="AB91" s="7"/>
      <c r="AC91" s="7"/>
    </row>
    <row r="92">
      <c r="A92" s="1">
        <v>92.0</v>
      </c>
      <c r="B92" s="3" t="s">
        <v>247</v>
      </c>
      <c r="C92" s="2" t="s">
        <v>248</v>
      </c>
      <c r="D92" s="2">
        <v>1929.0</v>
      </c>
      <c r="E92" s="2">
        <v>1964.0</v>
      </c>
      <c r="F92" s="1" t="b">
        <f t="shared" si="14"/>
        <v>0</v>
      </c>
      <c r="G92" s="2">
        <v>43.000438</v>
      </c>
      <c r="H92" s="2">
        <v>-73.082937</v>
      </c>
      <c r="I92" s="3" t="str">
        <f t="shared" si="17"/>
        <v>#ERROR!</v>
      </c>
      <c r="J92" s="1" t="s">
        <v>249</v>
      </c>
      <c r="K92" s="2" t="b">
        <v>1</v>
      </c>
    </row>
    <row r="93" ht="18.0" customHeight="1">
      <c r="A93" s="1">
        <v>93.0</v>
      </c>
      <c r="B93" s="3" t="s">
        <v>250</v>
      </c>
      <c r="C93" s="2" t="s">
        <v>251</v>
      </c>
      <c r="D93" s="1">
        <v>1927.0</v>
      </c>
      <c r="E93" s="1">
        <v>1963.0</v>
      </c>
      <c r="F93" s="1" t="b">
        <f t="shared" si="14"/>
        <v>0</v>
      </c>
      <c r="G93" s="4">
        <v>42.9768594705792</v>
      </c>
      <c r="H93" s="4">
        <v>-73.0716536389226</v>
      </c>
      <c r="J93" s="1" t="s">
        <v>245</v>
      </c>
      <c r="K93" s="2" t="b">
        <v>0</v>
      </c>
      <c r="L93" s="1" t="s">
        <v>252</v>
      </c>
    </row>
    <row r="94">
      <c r="A94" s="1">
        <v>94.0</v>
      </c>
      <c r="B94" s="3" t="s">
        <v>253</v>
      </c>
      <c r="C94" s="2" t="s">
        <v>254</v>
      </c>
      <c r="D94" s="2">
        <v>1965.0</v>
      </c>
      <c r="E94" s="1">
        <v>1985.0</v>
      </c>
      <c r="F94" s="1" t="b">
        <f t="shared" si="14"/>
        <v>0</v>
      </c>
      <c r="G94" s="2">
        <v>42.97452</v>
      </c>
      <c r="H94" s="2">
        <v>-73.07288</v>
      </c>
      <c r="I94" s="3" t="str">
        <f t="shared" ref="I94:I95" si="18">W3WCONVERTTO3WA(G94,H94)</f>
        <v>#ERROR!</v>
      </c>
      <c r="J94" s="12" t="s">
        <v>255</v>
      </c>
      <c r="K94" s="2" t="b">
        <v>1</v>
      </c>
      <c r="N94" s="7"/>
    </row>
    <row r="95">
      <c r="A95" s="6">
        <v>95.0</v>
      </c>
      <c r="B95" s="7" t="s">
        <v>256</v>
      </c>
      <c r="C95" s="8" t="s">
        <v>257</v>
      </c>
      <c r="D95" s="8">
        <v>1933.0</v>
      </c>
      <c r="E95" s="8"/>
      <c r="F95" s="1" t="b">
        <f t="shared" si="14"/>
        <v>1</v>
      </c>
      <c r="G95" s="8">
        <v>44.17794</v>
      </c>
      <c r="H95" s="8">
        <v>-72.92744</v>
      </c>
      <c r="I95" s="7" t="str">
        <f t="shared" si="18"/>
        <v>#ERROR!</v>
      </c>
      <c r="J95" s="6" t="s">
        <v>258</v>
      </c>
      <c r="K95" s="8" t="b">
        <v>1</v>
      </c>
      <c r="L95" s="7"/>
      <c r="M95" s="7"/>
      <c r="N95" s="7"/>
      <c r="O95" s="7"/>
      <c r="P95" s="7"/>
      <c r="Q95" s="7"/>
      <c r="R95" s="7"/>
      <c r="S95" s="7"/>
      <c r="T95" s="7"/>
      <c r="U95" s="7"/>
      <c r="V95" s="7"/>
      <c r="W95" s="7"/>
      <c r="X95" s="7"/>
      <c r="Y95" s="7"/>
      <c r="Z95" s="7"/>
      <c r="AA95" s="7"/>
      <c r="AB95" s="7"/>
      <c r="AC95" s="7"/>
    </row>
    <row r="96">
      <c r="A96" s="1">
        <v>96.0</v>
      </c>
      <c r="B96" s="3" t="s">
        <v>259</v>
      </c>
      <c r="C96" s="2" t="s">
        <v>260</v>
      </c>
      <c r="D96" s="2">
        <v>1919.0</v>
      </c>
      <c r="E96" s="1">
        <v>1985.0</v>
      </c>
      <c r="F96" s="1" t="b">
        <f t="shared" si="14"/>
        <v>0</v>
      </c>
      <c r="G96" s="25">
        <v>44.1796669196427</v>
      </c>
      <c r="H96" s="25">
        <v>-72.9301786529325</v>
      </c>
      <c r="J96" s="1" t="s">
        <v>261</v>
      </c>
      <c r="K96" s="2" t="b">
        <v>1</v>
      </c>
    </row>
    <row r="97">
      <c r="A97" s="1">
        <v>97.0</v>
      </c>
      <c r="B97" s="1" t="s">
        <v>262</v>
      </c>
      <c r="C97" s="2" t="s">
        <v>263</v>
      </c>
      <c r="D97" s="2">
        <v>1985.0</v>
      </c>
      <c r="E97" s="1">
        <v>2004.0</v>
      </c>
      <c r="F97" s="1" t="b">
        <f t="shared" si="14"/>
        <v>0</v>
      </c>
      <c r="G97" s="2">
        <v>42.983472</v>
      </c>
      <c r="H97" s="2">
        <v>-73.082372</v>
      </c>
      <c r="J97" s="2" t="s">
        <v>24</v>
      </c>
      <c r="K97" s="2" t="b">
        <v>1</v>
      </c>
    </row>
    <row r="98" ht="20.25" customHeight="1">
      <c r="A98" s="1">
        <v>98.0</v>
      </c>
      <c r="B98" s="1" t="s">
        <v>264</v>
      </c>
      <c r="C98" s="2" t="s">
        <v>265</v>
      </c>
      <c r="D98" s="1">
        <v>2004.0</v>
      </c>
      <c r="E98" s="2"/>
      <c r="F98" s="1" t="b">
        <f t="shared" si="14"/>
        <v>1</v>
      </c>
      <c r="G98" s="2">
        <v>42.983472</v>
      </c>
      <c r="H98" s="2">
        <v>-73.082372</v>
      </c>
      <c r="I98" s="3" t="str">
        <f>W3WCONVERTTO3WA(G98,H98)</f>
        <v>#ERROR!</v>
      </c>
      <c r="J98" s="1" t="s">
        <v>159</v>
      </c>
      <c r="K98" s="2" t="b">
        <v>1</v>
      </c>
    </row>
    <row r="99">
      <c r="A99" s="6">
        <v>99.0</v>
      </c>
      <c r="B99" s="6" t="s">
        <v>266</v>
      </c>
      <c r="C99" s="6" t="s">
        <v>267</v>
      </c>
      <c r="D99" s="8"/>
      <c r="E99" s="8"/>
      <c r="F99" s="1" t="b">
        <f t="shared" si="14"/>
        <v>1</v>
      </c>
      <c r="G99" s="8"/>
      <c r="H99" s="8"/>
      <c r="I99" s="7"/>
      <c r="J99" s="6"/>
      <c r="K99" s="8"/>
      <c r="L99" s="7"/>
      <c r="M99" s="7"/>
      <c r="N99" s="7"/>
      <c r="O99" s="7"/>
      <c r="P99" s="7"/>
      <c r="Q99" s="7"/>
      <c r="R99" s="7"/>
      <c r="S99" s="7"/>
      <c r="T99" s="7"/>
      <c r="U99" s="7"/>
      <c r="V99" s="7"/>
      <c r="W99" s="7"/>
      <c r="X99" s="7"/>
      <c r="Y99" s="7"/>
      <c r="Z99" s="7"/>
      <c r="AA99" s="7"/>
      <c r="AB99" s="7"/>
      <c r="AC99" s="7"/>
    </row>
    <row r="100">
      <c r="A100" s="6">
        <v>100.0</v>
      </c>
      <c r="B100" s="7" t="s">
        <v>268</v>
      </c>
      <c r="C100" s="8" t="s">
        <v>269</v>
      </c>
      <c r="D100" s="8">
        <v>1949.0</v>
      </c>
      <c r="E100" s="8">
        <v>2001.0</v>
      </c>
      <c r="F100" s="1" t="b">
        <f t="shared" si="14"/>
        <v>0</v>
      </c>
      <c r="G100" s="8">
        <v>44.32978</v>
      </c>
      <c r="H100" s="8">
        <v>-72.88234</v>
      </c>
      <c r="I100" s="7" t="str">
        <f>W3WCONVERTTO3WA(G100,H100)</f>
        <v>#ERROR!</v>
      </c>
      <c r="J100" s="6" t="s">
        <v>258</v>
      </c>
      <c r="K100" s="8" t="b">
        <v>1</v>
      </c>
      <c r="L100" s="7"/>
      <c r="M100" s="7"/>
      <c r="N100" s="7"/>
      <c r="O100" s="7"/>
      <c r="P100" s="7"/>
      <c r="Q100" s="7"/>
      <c r="R100" s="7"/>
      <c r="S100" s="7"/>
      <c r="T100" s="7"/>
      <c r="U100" s="7"/>
      <c r="V100" s="7"/>
      <c r="W100" s="7"/>
      <c r="X100" s="7"/>
      <c r="Y100" s="7"/>
      <c r="Z100" s="7"/>
      <c r="AA100" s="7"/>
      <c r="AB100" s="7"/>
      <c r="AC100" s="7"/>
    </row>
    <row r="101" ht="16.5" customHeight="1">
      <c r="A101" s="6">
        <v>101.0</v>
      </c>
      <c r="B101" s="7" t="s">
        <v>270</v>
      </c>
      <c r="C101" s="8" t="s">
        <v>271</v>
      </c>
      <c r="D101" s="8">
        <v>1912.0</v>
      </c>
      <c r="E101" s="7"/>
      <c r="F101" s="1" t="b">
        <f t="shared" si="14"/>
        <v>1</v>
      </c>
      <c r="G101" s="25">
        <v>43.8362212869418</v>
      </c>
      <c r="H101" s="4">
        <v>-72.9580388628346</v>
      </c>
      <c r="I101" s="7"/>
      <c r="J101" s="6"/>
      <c r="K101" s="8" t="b">
        <v>1</v>
      </c>
      <c r="L101" s="26" t="s">
        <v>272</v>
      </c>
      <c r="M101" s="7"/>
      <c r="N101" s="7"/>
      <c r="O101" s="7"/>
      <c r="P101" s="7"/>
      <c r="Q101" s="7"/>
      <c r="R101" s="7"/>
      <c r="S101" s="7"/>
      <c r="T101" s="7"/>
      <c r="U101" s="7"/>
      <c r="V101" s="7"/>
      <c r="W101" s="7"/>
      <c r="X101" s="7"/>
      <c r="Y101" s="7"/>
      <c r="Z101" s="7"/>
      <c r="AA101" s="7"/>
      <c r="AB101" s="7"/>
      <c r="AC101" s="7"/>
    </row>
    <row r="102">
      <c r="A102" s="1">
        <v>102.0</v>
      </c>
      <c r="B102" s="3" t="s">
        <v>273</v>
      </c>
      <c r="C102" s="2" t="s">
        <v>274</v>
      </c>
      <c r="D102" s="2">
        <v>1929.0</v>
      </c>
      <c r="E102" s="1"/>
      <c r="F102" s="1" t="b">
        <f t="shared" si="14"/>
        <v>1</v>
      </c>
      <c r="G102" s="2">
        <v>43.56456</v>
      </c>
      <c r="H102" s="2">
        <v>-72.84835</v>
      </c>
      <c r="I102" s="3" t="str">
        <f>W3WCONVERTTO3WA(G102,H102)</f>
        <v>#ERROR!</v>
      </c>
      <c r="J102" s="1" t="s">
        <v>275</v>
      </c>
      <c r="K102" s="2" t="b">
        <v>1</v>
      </c>
    </row>
    <row r="103">
      <c r="A103" s="1">
        <v>103.0</v>
      </c>
      <c r="B103" s="1" t="s">
        <v>276</v>
      </c>
      <c r="C103" s="2" t="s">
        <v>277</v>
      </c>
      <c r="D103" s="2">
        <v>1937.0</v>
      </c>
      <c r="E103" s="2">
        <v>1960.0</v>
      </c>
      <c r="F103" s="1" t="b">
        <f t="shared" si="14"/>
        <v>0</v>
      </c>
      <c r="G103" s="2">
        <v>43.44118</v>
      </c>
      <c r="H103" s="2">
        <v>-72.92844</v>
      </c>
      <c r="J103" s="1" t="s">
        <v>255</v>
      </c>
      <c r="K103" s="2" t="b">
        <v>1</v>
      </c>
    </row>
    <row r="104">
      <c r="A104" s="1">
        <v>104.0</v>
      </c>
      <c r="B104" s="1" t="s">
        <v>278</v>
      </c>
      <c r="C104" s="2" t="s">
        <v>279</v>
      </c>
      <c r="D104" s="2">
        <v>1962.0</v>
      </c>
      <c r="E104" s="2"/>
      <c r="F104" s="1" t="b">
        <f t="shared" si="14"/>
        <v>1</v>
      </c>
      <c r="G104" s="2">
        <v>43.44118</v>
      </c>
      <c r="H104" s="2">
        <v>-72.92844</v>
      </c>
      <c r="I104" s="3" t="str">
        <f t="shared" ref="I104:I105" si="19">W3WCONVERTTO3WA(G104,H104)</f>
        <v>#ERROR!</v>
      </c>
      <c r="J104" s="1" t="s">
        <v>280</v>
      </c>
      <c r="K104" s="2" t="b">
        <v>1</v>
      </c>
    </row>
    <row r="105">
      <c r="A105" s="1">
        <v>105.0</v>
      </c>
      <c r="B105" s="3" t="s">
        <v>281</v>
      </c>
      <c r="C105" s="2" t="s">
        <v>282</v>
      </c>
      <c r="D105" s="1">
        <v>1959.0</v>
      </c>
      <c r="E105" s="2"/>
      <c r="F105" s="1" t="b">
        <f t="shared" si="14"/>
        <v>1</v>
      </c>
      <c r="G105" s="1">
        <v>41.19948</v>
      </c>
      <c r="H105" s="1">
        <v>-74.75264</v>
      </c>
      <c r="I105" s="3" t="str">
        <f t="shared" si="19"/>
        <v>#ERROR!</v>
      </c>
      <c r="J105" s="1" t="s">
        <v>255</v>
      </c>
      <c r="K105" s="2" t="b">
        <v>1</v>
      </c>
    </row>
    <row r="106">
      <c r="A106" s="6">
        <v>106.0</v>
      </c>
      <c r="B106" s="6" t="s">
        <v>283</v>
      </c>
      <c r="C106" s="8" t="s">
        <v>284</v>
      </c>
      <c r="D106" s="6">
        <v>1920.0</v>
      </c>
      <c r="E106" s="8">
        <v>1924.0</v>
      </c>
      <c r="F106" s="1" t="b">
        <f t="shared" si="14"/>
        <v>0</v>
      </c>
      <c r="G106" s="25">
        <v>43.3560961082426</v>
      </c>
      <c r="H106" s="25">
        <v>-72.9295051934357</v>
      </c>
      <c r="I106" s="7"/>
      <c r="J106" s="6" t="s">
        <v>285</v>
      </c>
      <c r="K106" s="8" t="b">
        <v>0</v>
      </c>
      <c r="L106" s="6" t="s">
        <v>286</v>
      </c>
      <c r="M106" s="7"/>
      <c r="N106" s="7"/>
      <c r="O106" s="7"/>
      <c r="P106" s="7"/>
      <c r="Q106" s="7"/>
      <c r="R106" s="7"/>
      <c r="S106" s="7"/>
      <c r="T106" s="7"/>
      <c r="U106" s="7"/>
      <c r="V106" s="7"/>
      <c r="W106" s="7"/>
      <c r="X106" s="7"/>
      <c r="Y106" s="7"/>
      <c r="Z106" s="7"/>
      <c r="AA106" s="7"/>
      <c r="AB106" s="7"/>
      <c r="AC106" s="7"/>
    </row>
    <row r="107">
      <c r="A107" s="1">
        <v>107.0</v>
      </c>
      <c r="B107" s="1" t="s">
        <v>287</v>
      </c>
      <c r="C107" s="2" t="s">
        <v>288</v>
      </c>
      <c r="D107" s="2">
        <v>1924.0</v>
      </c>
      <c r="E107" s="2">
        <v>1935.0</v>
      </c>
      <c r="F107" s="1" t="b">
        <f t="shared" si="14"/>
        <v>0</v>
      </c>
      <c r="G107" s="25">
        <v>43.3546607170415</v>
      </c>
      <c r="H107" s="25">
        <v>-72.9282338263655</v>
      </c>
      <c r="J107" s="1" t="s">
        <v>289</v>
      </c>
      <c r="K107" s="2" t="b">
        <v>1</v>
      </c>
    </row>
    <row r="108">
      <c r="A108" s="1">
        <v>108.0</v>
      </c>
      <c r="B108" s="3" t="s">
        <v>290</v>
      </c>
      <c r="C108" s="2" t="s">
        <v>291</v>
      </c>
      <c r="D108" s="1">
        <v>1890.0</v>
      </c>
      <c r="E108" s="2">
        <v>1932.0</v>
      </c>
      <c r="F108" s="1" t="b">
        <f t="shared" si="14"/>
        <v>0</v>
      </c>
      <c r="G108" s="27">
        <v>43.3045180352236</v>
      </c>
      <c r="H108" s="25">
        <v>-72.9598496864098</v>
      </c>
      <c r="J108" s="1" t="s">
        <v>292</v>
      </c>
      <c r="K108" s="2" t="b">
        <v>0</v>
      </c>
    </row>
    <row r="109">
      <c r="A109" s="1">
        <v>109.0</v>
      </c>
      <c r="B109" s="3" t="s">
        <v>293</v>
      </c>
      <c r="C109" s="2" t="s">
        <v>294</v>
      </c>
      <c r="D109" s="2">
        <v>1966.0</v>
      </c>
      <c r="E109" s="2">
        <v>1975.0</v>
      </c>
      <c r="F109" s="1" t="b">
        <f t="shared" si="14"/>
        <v>0</v>
      </c>
      <c r="G109" s="25">
        <v>43.3039665423839</v>
      </c>
      <c r="H109" s="25">
        <v>-72.9581716243123</v>
      </c>
      <c r="J109" s="1" t="s">
        <v>295</v>
      </c>
      <c r="K109" s="2" t="b">
        <v>1</v>
      </c>
    </row>
    <row r="110">
      <c r="A110" s="1">
        <v>110.0</v>
      </c>
      <c r="B110" s="3" t="s">
        <v>296</v>
      </c>
      <c r="C110" s="2" t="s">
        <v>297</v>
      </c>
      <c r="D110" s="2">
        <v>1996.0</v>
      </c>
      <c r="E110" s="2"/>
      <c r="F110" s="1" t="b">
        <f t="shared" si="14"/>
        <v>1</v>
      </c>
      <c r="G110" s="25">
        <v>43.3039665423839</v>
      </c>
      <c r="H110" s="25">
        <v>-72.9581716243123</v>
      </c>
      <c r="K110" s="2" t="b">
        <v>1</v>
      </c>
    </row>
    <row r="111">
      <c r="A111" s="1">
        <v>111.0</v>
      </c>
      <c r="B111" s="3" t="s">
        <v>298</v>
      </c>
      <c r="C111" s="2" t="s">
        <v>299</v>
      </c>
      <c r="D111" s="2">
        <v>1935.0</v>
      </c>
      <c r="E111" s="2">
        <v>1966.0</v>
      </c>
      <c r="F111" s="1" t="b">
        <f t="shared" si="14"/>
        <v>0</v>
      </c>
      <c r="G111" s="2">
        <v>43.30091</v>
      </c>
      <c r="H111" s="2">
        <v>-72.95538</v>
      </c>
      <c r="I111" s="3" t="str">
        <f>W3WCONVERTTO3WA(G111,H111)</f>
        <v>#ERROR!</v>
      </c>
      <c r="K111" s="2" t="b">
        <v>1</v>
      </c>
      <c r="L111" s="1" t="s">
        <v>300</v>
      </c>
    </row>
    <row r="112">
      <c r="A112" s="12">
        <v>112.0</v>
      </c>
      <c r="B112" s="13" t="s">
        <v>301</v>
      </c>
      <c r="C112" s="14" t="s">
        <v>302</v>
      </c>
      <c r="D112" s="12">
        <v>1917.0</v>
      </c>
      <c r="E112" s="14">
        <v>1930.0</v>
      </c>
      <c r="F112" s="1" t="b">
        <f t="shared" si="14"/>
        <v>0</v>
      </c>
      <c r="G112" s="16">
        <v>43.0609680024179</v>
      </c>
      <c r="H112" s="16">
        <v>-72.9681529074046</v>
      </c>
      <c r="I112" s="14"/>
      <c r="J112" s="14" t="s">
        <v>21</v>
      </c>
      <c r="K112" s="14" t="b">
        <v>0</v>
      </c>
      <c r="L112" s="13"/>
      <c r="M112" s="13"/>
      <c r="N112" s="13"/>
      <c r="O112" s="13"/>
      <c r="P112" s="13"/>
      <c r="Q112" s="13"/>
      <c r="R112" s="13"/>
      <c r="S112" s="13"/>
      <c r="T112" s="13"/>
      <c r="U112" s="13"/>
      <c r="V112" s="13"/>
      <c r="W112" s="13"/>
      <c r="X112" s="13"/>
      <c r="Y112" s="13"/>
      <c r="Z112" s="13"/>
      <c r="AA112" s="13"/>
      <c r="AB112" s="13"/>
      <c r="AC112" s="13"/>
    </row>
    <row r="113">
      <c r="A113" s="1">
        <v>113.0</v>
      </c>
      <c r="B113" s="2" t="s">
        <v>303</v>
      </c>
      <c r="C113" s="2" t="s">
        <v>304</v>
      </c>
      <c r="D113" s="2">
        <v>1966.0</v>
      </c>
      <c r="E113" s="2">
        <v>1977.0</v>
      </c>
      <c r="F113" s="1" t="b">
        <f t="shared" si="14"/>
        <v>0</v>
      </c>
      <c r="G113" s="2">
        <v>43.66208</v>
      </c>
      <c r="H113" s="2">
        <v>-72.62208</v>
      </c>
      <c r="J113" s="1" t="s">
        <v>255</v>
      </c>
      <c r="K113" s="2" t="b">
        <v>1</v>
      </c>
      <c r="L113" s="1" t="s">
        <v>305</v>
      </c>
    </row>
    <row r="114">
      <c r="A114" s="1">
        <v>114.0</v>
      </c>
      <c r="B114" s="2" t="s">
        <v>303</v>
      </c>
      <c r="C114" s="2" t="s">
        <v>306</v>
      </c>
      <c r="D114" s="2">
        <v>1977.0</v>
      </c>
      <c r="E114" s="2">
        <v>1983.0</v>
      </c>
      <c r="F114" s="1" t="b">
        <f t="shared" si="14"/>
        <v>0</v>
      </c>
      <c r="G114" s="2">
        <v>43.66208</v>
      </c>
      <c r="H114" s="2">
        <v>-72.62208</v>
      </c>
      <c r="J114" s="1" t="s">
        <v>255</v>
      </c>
      <c r="K114" s="2" t="b">
        <v>1</v>
      </c>
    </row>
    <row r="115">
      <c r="A115" s="12">
        <v>115.0</v>
      </c>
      <c r="B115" s="12" t="s">
        <v>307</v>
      </c>
      <c r="C115" s="12" t="s">
        <v>308</v>
      </c>
      <c r="D115" s="14">
        <v>1936.0</v>
      </c>
      <c r="E115" s="14"/>
      <c r="F115" s="1" t="b">
        <f t="shared" si="14"/>
        <v>1</v>
      </c>
      <c r="G115" s="14">
        <v>43.25279</v>
      </c>
      <c r="H115" s="14">
        <v>-72.89206</v>
      </c>
      <c r="I115" s="13" t="str">
        <f>W3WCONVERTTO3WA(G115,H115)</f>
        <v>#ERROR!</v>
      </c>
      <c r="J115" s="13"/>
      <c r="K115" s="14" t="b">
        <v>0</v>
      </c>
      <c r="L115" s="13"/>
      <c r="M115" s="13"/>
      <c r="N115" s="13"/>
      <c r="O115" s="13"/>
      <c r="P115" s="13"/>
      <c r="Q115" s="13"/>
      <c r="R115" s="13"/>
      <c r="S115" s="13"/>
      <c r="T115" s="13"/>
      <c r="U115" s="13"/>
      <c r="V115" s="13"/>
      <c r="W115" s="13"/>
      <c r="X115" s="13"/>
      <c r="Y115" s="13"/>
      <c r="Z115" s="13"/>
      <c r="AA115" s="13"/>
      <c r="AB115" s="13"/>
      <c r="AC115" s="13"/>
    </row>
    <row r="116">
      <c r="A116" s="6">
        <v>116.0</v>
      </c>
      <c r="B116" s="6" t="s">
        <v>309</v>
      </c>
      <c r="C116" s="6" t="s">
        <v>310</v>
      </c>
      <c r="D116" s="6">
        <v>1998.0</v>
      </c>
      <c r="E116" s="8"/>
      <c r="F116" s="1" t="b">
        <f t="shared" si="14"/>
        <v>1</v>
      </c>
      <c r="G116" s="8">
        <v>43.72407</v>
      </c>
      <c r="H116" s="8">
        <v>-72.36527</v>
      </c>
      <c r="I116" s="7"/>
      <c r="J116" s="7"/>
      <c r="K116" s="6" t="b">
        <v>0</v>
      </c>
      <c r="L116" s="7"/>
      <c r="M116" s="7"/>
      <c r="N116" s="7"/>
      <c r="O116" s="7"/>
      <c r="P116" s="28"/>
      <c r="Q116" s="28"/>
      <c r="R116" s="28"/>
      <c r="S116" s="28"/>
      <c r="T116" s="28"/>
      <c r="U116" s="28"/>
      <c r="V116" s="28"/>
      <c r="W116" s="28"/>
      <c r="X116" s="28"/>
      <c r="Y116" s="28"/>
      <c r="Z116" s="28"/>
      <c r="AA116" s="28"/>
      <c r="AB116" s="28"/>
      <c r="AC116" s="28"/>
    </row>
    <row r="117" ht="15.0" customHeight="1">
      <c r="A117" s="1">
        <v>117.0</v>
      </c>
      <c r="B117" s="1" t="s">
        <v>311</v>
      </c>
      <c r="C117" s="1" t="s">
        <v>312</v>
      </c>
      <c r="D117" s="2">
        <v>1918.0</v>
      </c>
      <c r="E117" s="1">
        <v>1998.0</v>
      </c>
      <c r="F117" s="1" t="b">
        <f t="shared" si="14"/>
        <v>0</v>
      </c>
      <c r="G117" s="21">
        <v>43.7290719392032</v>
      </c>
      <c r="H117" s="21">
        <v>-72.3679620472041</v>
      </c>
      <c r="I117" s="3" t="str">
        <f>W3WCONVERTTO3WA(G118,H118)</f>
        <v>#ERROR!</v>
      </c>
      <c r="J117" s="1" t="s">
        <v>313</v>
      </c>
      <c r="K117" s="1" t="b">
        <v>0</v>
      </c>
    </row>
    <row r="118" ht="15.0" customHeight="1">
      <c r="A118" s="1">
        <v>118.0</v>
      </c>
      <c r="B118" s="3" t="s">
        <v>314</v>
      </c>
      <c r="C118" s="2" t="s">
        <v>315</v>
      </c>
      <c r="D118" s="2">
        <v>1917.0</v>
      </c>
      <c r="E118" s="2">
        <v>1920.0</v>
      </c>
      <c r="F118" s="1" t="b">
        <f t="shared" si="14"/>
        <v>0</v>
      </c>
      <c r="G118" s="25">
        <v>43.0609680024179</v>
      </c>
      <c r="H118" s="16">
        <v>-72.9681529074046</v>
      </c>
      <c r="J118" s="1" t="s">
        <v>21</v>
      </c>
      <c r="K118" s="2" t="b">
        <v>0</v>
      </c>
      <c r="L118" s="16"/>
    </row>
    <row r="119">
      <c r="A119" s="12">
        <v>119.0</v>
      </c>
      <c r="B119" s="12" t="s">
        <v>316</v>
      </c>
      <c r="C119" s="12" t="s">
        <v>317</v>
      </c>
      <c r="D119" s="14">
        <v>1948.0</v>
      </c>
      <c r="E119" s="14">
        <v>1997.0</v>
      </c>
      <c r="F119" s="1" t="b">
        <f t="shared" si="14"/>
        <v>0</v>
      </c>
      <c r="G119" s="29">
        <v>44.8423671594298</v>
      </c>
      <c r="H119" s="29">
        <v>-72.53081036159</v>
      </c>
      <c r="I119" s="13"/>
      <c r="J119" s="12" t="s">
        <v>30</v>
      </c>
      <c r="K119" s="14" t="b">
        <v>1</v>
      </c>
      <c r="L119" s="12" t="s">
        <v>318</v>
      </c>
      <c r="M119" s="13"/>
      <c r="N119" s="13"/>
      <c r="O119" s="13"/>
      <c r="P119" s="13"/>
      <c r="Q119" s="13"/>
      <c r="R119" s="13"/>
      <c r="S119" s="13"/>
      <c r="T119" s="13"/>
      <c r="U119" s="13"/>
      <c r="V119" s="13"/>
      <c r="W119" s="13"/>
      <c r="X119" s="13"/>
      <c r="Y119" s="13"/>
      <c r="Z119" s="13"/>
      <c r="AA119" s="13"/>
      <c r="AB119" s="13"/>
      <c r="AC119" s="13"/>
    </row>
    <row r="120">
      <c r="A120" s="1">
        <v>120.0</v>
      </c>
      <c r="B120" s="1" t="s">
        <v>316</v>
      </c>
      <c r="C120" s="1" t="s">
        <v>319</v>
      </c>
      <c r="D120" s="2">
        <v>1998.0</v>
      </c>
      <c r="E120" s="2"/>
      <c r="F120" s="1" t="b">
        <f t="shared" si="14"/>
        <v>1</v>
      </c>
      <c r="G120" s="2">
        <v>44.85108</v>
      </c>
      <c r="H120" s="2">
        <v>-72.51485</v>
      </c>
      <c r="I120" s="3" t="str">
        <f t="shared" ref="I120:I121" si="20">W3WCONVERTTO3WA(G120,H120)</f>
        <v>#ERROR!</v>
      </c>
      <c r="J120" s="2" t="s">
        <v>30</v>
      </c>
      <c r="K120" s="2" t="b">
        <v>1</v>
      </c>
      <c r="L120" s="1" t="s">
        <v>320</v>
      </c>
    </row>
    <row r="121">
      <c r="A121" s="1">
        <v>121.0</v>
      </c>
      <c r="B121" s="3" t="s">
        <v>321</v>
      </c>
      <c r="C121" s="2" t="s">
        <v>322</v>
      </c>
      <c r="D121" s="2">
        <v>2015.0</v>
      </c>
      <c r="E121" s="2">
        <v>2021.0</v>
      </c>
      <c r="F121" s="1" t="b">
        <f t="shared" si="14"/>
        <v>0</v>
      </c>
      <c r="G121" s="2">
        <v>44.9102722</v>
      </c>
      <c r="H121" s="2">
        <v>-71.8458837</v>
      </c>
      <c r="I121" s="3" t="str">
        <f t="shared" si="20"/>
        <v>#ERROR!</v>
      </c>
      <c r="K121" s="2" t="b">
        <v>1</v>
      </c>
      <c r="L121" s="1" t="s">
        <v>323</v>
      </c>
    </row>
    <row r="122">
      <c r="A122" s="1">
        <v>122.0</v>
      </c>
      <c r="B122" s="1" t="s">
        <v>324</v>
      </c>
      <c r="C122" s="1" t="s">
        <v>325</v>
      </c>
      <c r="D122" s="2">
        <v>1915.0</v>
      </c>
      <c r="E122" s="2">
        <v>1930.0</v>
      </c>
      <c r="F122" s="1" t="b">
        <f t="shared" si="14"/>
        <v>0</v>
      </c>
      <c r="G122" s="25">
        <v>42.9101379385862</v>
      </c>
      <c r="H122" s="25">
        <v>-73.1157294354869</v>
      </c>
      <c r="J122" s="1" t="s">
        <v>313</v>
      </c>
      <c r="K122" s="2" t="b">
        <v>1</v>
      </c>
    </row>
    <row r="123">
      <c r="A123" s="1">
        <v>123.0</v>
      </c>
      <c r="B123" s="1" t="s">
        <v>326</v>
      </c>
      <c r="C123" s="1" t="s">
        <v>327</v>
      </c>
      <c r="D123" s="1">
        <v>1920.0</v>
      </c>
      <c r="E123" s="1">
        <v>1939.0</v>
      </c>
      <c r="F123" s="1" t="b">
        <f t="shared" si="14"/>
        <v>0</v>
      </c>
      <c r="G123" s="1">
        <v>44.0881244184466</v>
      </c>
      <c r="H123" s="25">
        <v>-72.9481832338059</v>
      </c>
      <c r="K123" s="1" t="b">
        <v>0</v>
      </c>
    </row>
    <row r="124">
      <c r="A124" s="1">
        <v>124.0</v>
      </c>
      <c r="B124" s="3" t="s">
        <v>328</v>
      </c>
      <c r="C124" s="2" t="s">
        <v>329</v>
      </c>
      <c r="D124" s="2">
        <v>1970.0</v>
      </c>
      <c r="E124" s="2">
        <v>1975.0</v>
      </c>
      <c r="F124" s="1" t="b">
        <f t="shared" si="14"/>
        <v>0</v>
      </c>
      <c r="G124" s="1">
        <v>43.6603849049001</v>
      </c>
      <c r="H124" s="25">
        <v>-72.5707779873912</v>
      </c>
      <c r="J124" s="1" t="s">
        <v>313</v>
      </c>
      <c r="K124" s="2" t="b">
        <v>0</v>
      </c>
      <c r="L124" s="1" t="s">
        <v>330</v>
      </c>
    </row>
    <row r="125">
      <c r="A125" s="1">
        <v>125.0</v>
      </c>
      <c r="B125" s="3" t="s">
        <v>331</v>
      </c>
      <c r="C125" s="2" t="s">
        <v>332</v>
      </c>
      <c r="D125" s="2">
        <v>1983.0</v>
      </c>
      <c r="E125" s="2">
        <v>1996.0</v>
      </c>
      <c r="F125" s="1" t="b">
        <f t="shared" si="14"/>
        <v>0</v>
      </c>
      <c r="G125" s="1">
        <v>44.331282069434</v>
      </c>
      <c r="H125" s="25">
        <v>-72.8950744609899</v>
      </c>
      <c r="J125" s="1" t="s">
        <v>333</v>
      </c>
      <c r="K125" s="2" t="b">
        <v>1</v>
      </c>
    </row>
    <row r="126">
      <c r="A126" s="1">
        <v>126.0</v>
      </c>
      <c r="B126" s="3" t="s">
        <v>334</v>
      </c>
      <c r="C126" s="2" t="s">
        <v>335</v>
      </c>
      <c r="D126" s="2">
        <v>1924.0</v>
      </c>
      <c r="E126" s="2">
        <v>1931.0</v>
      </c>
      <c r="F126" s="1" t="b">
        <f t="shared" si="14"/>
        <v>0</v>
      </c>
      <c r="G126" s="25">
        <v>44.6867724941085</v>
      </c>
      <c r="H126" s="25">
        <v>-72.7228021055865</v>
      </c>
      <c r="J126" s="1" t="s">
        <v>313</v>
      </c>
      <c r="K126" s="1" t="b">
        <v>0</v>
      </c>
    </row>
    <row r="127">
      <c r="A127" s="12">
        <v>127.0</v>
      </c>
      <c r="B127" s="13" t="s">
        <v>336</v>
      </c>
      <c r="C127" s="14" t="s">
        <v>337</v>
      </c>
      <c r="D127" s="14">
        <v>1990.0</v>
      </c>
      <c r="E127" s="14"/>
      <c r="F127" s="1" t="b">
        <f t="shared" si="14"/>
        <v>1</v>
      </c>
      <c r="G127" s="14">
        <v>44.30898</v>
      </c>
      <c r="H127" s="14">
        <v>-72.87109</v>
      </c>
      <c r="I127" s="13" t="str">
        <f t="shared" ref="I127:I128" si="21">W3WCONVERTTO3WA(G127,H127)</f>
        <v>#ERROR!</v>
      </c>
      <c r="J127" s="12" t="s">
        <v>84</v>
      </c>
      <c r="K127" s="14" t="b">
        <v>1</v>
      </c>
      <c r="L127" s="13"/>
      <c r="M127" s="13"/>
      <c r="N127" s="13"/>
      <c r="O127" s="13"/>
      <c r="P127" s="17"/>
      <c r="Q127" s="17"/>
      <c r="R127" s="17"/>
      <c r="S127" s="17"/>
      <c r="T127" s="17"/>
      <c r="U127" s="17"/>
      <c r="V127" s="17"/>
      <c r="W127" s="17"/>
      <c r="X127" s="17"/>
      <c r="Y127" s="17"/>
      <c r="Z127" s="17"/>
      <c r="AA127" s="17"/>
      <c r="AB127" s="17"/>
      <c r="AC127" s="17"/>
    </row>
    <row r="128">
      <c r="A128" s="1">
        <v>128.0</v>
      </c>
      <c r="B128" s="3" t="s">
        <v>338</v>
      </c>
      <c r="C128" s="2" t="s">
        <v>339</v>
      </c>
      <c r="D128" s="2">
        <v>1977.0</v>
      </c>
      <c r="E128" s="2"/>
      <c r="F128" s="1" t="b">
        <f t="shared" si="14"/>
        <v>1</v>
      </c>
      <c r="G128" s="2">
        <v>43.66409</v>
      </c>
      <c r="H128" s="2">
        <v>-72.83309</v>
      </c>
      <c r="I128" s="3" t="str">
        <f t="shared" si="21"/>
        <v>#ERROR!</v>
      </c>
      <c r="J128" s="1" t="s">
        <v>340</v>
      </c>
      <c r="K128" s="1" t="b">
        <v>1</v>
      </c>
      <c r="L128" s="1" t="s">
        <v>341</v>
      </c>
    </row>
    <row r="129">
      <c r="A129" s="1">
        <v>129.0</v>
      </c>
      <c r="B129" s="1" t="s">
        <v>342</v>
      </c>
      <c r="C129" s="2" t="s">
        <v>343</v>
      </c>
      <c r="D129" s="2">
        <v>1936.0</v>
      </c>
      <c r="E129" s="2">
        <v>1957.0</v>
      </c>
      <c r="F129" s="1" t="b">
        <f t="shared" si="14"/>
        <v>0</v>
      </c>
      <c r="G129" s="25">
        <v>44.9130008212309</v>
      </c>
      <c r="H129" s="25">
        <v>-72.5042668975705</v>
      </c>
      <c r="K129" s="2" t="b">
        <v>1</v>
      </c>
      <c r="L129" s="1" t="s">
        <v>344</v>
      </c>
    </row>
    <row r="130">
      <c r="A130" s="1">
        <v>130.0</v>
      </c>
      <c r="B130" s="1" t="s">
        <v>345</v>
      </c>
      <c r="C130" s="2" t="s">
        <v>346</v>
      </c>
      <c r="D130" s="2">
        <v>1958.0</v>
      </c>
      <c r="E130" s="2"/>
      <c r="F130" s="1" t="b">
        <f t="shared" si="14"/>
        <v>1</v>
      </c>
      <c r="G130" s="2">
        <v>44.9138217</v>
      </c>
      <c r="H130" s="2">
        <v>-72.5100735</v>
      </c>
      <c r="I130" s="3" t="str">
        <f>W3WCONVERTTO3WA(G130,H130)</f>
        <v>#ERROR!</v>
      </c>
      <c r="K130" s="2" t="b">
        <v>1</v>
      </c>
      <c r="L130" s="1" t="s">
        <v>347</v>
      </c>
    </row>
    <row r="131">
      <c r="A131" s="1">
        <v>131.0</v>
      </c>
      <c r="B131" s="1" t="s">
        <v>348</v>
      </c>
      <c r="C131" s="2" t="s">
        <v>349</v>
      </c>
      <c r="D131" s="2">
        <v>1931.0</v>
      </c>
      <c r="E131" s="1">
        <v>2004.0</v>
      </c>
      <c r="F131" s="1" t="b">
        <f t="shared" si="14"/>
        <v>0</v>
      </c>
      <c r="G131" s="1">
        <v>45.0054325961704</v>
      </c>
      <c r="H131" s="25">
        <v>-72.4777630707107</v>
      </c>
      <c r="J131" s="1" t="s">
        <v>30</v>
      </c>
      <c r="K131" s="2" t="b">
        <v>1</v>
      </c>
      <c r="L131" s="1" t="s">
        <v>350</v>
      </c>
    </row>
    <row r="132">
      <c r="A132" s="6">
        <v>132.0</v>
      </c>
      <c r="B132" s="6" t="s">
        <v>351</v>
      </c>
      <c r="C132" s="8" t="s">
        <v>352</v>
      </c>
      <c r="D132" s="6">
        <v>2003.0</v>
      </c>
      <c r="E132" s="8"/>
      <c r="F132" s="1" t="b">
        <f t="shared" si="14"/>
        <v>1</v>
      </c>
      <c r="G132" s="8">
        <v>45.0069</v>
      </c>
      <c r="H132" s="8">
        <v>-72.47924</v>
      </c>
      <c r="I132" s="7" t="str">
        <f>W3WCONVERTTO3WA(G132,H132)</f>
        <v>#ERROR!</v>
      </c>
      <c r="J132" s="8" t="s">
        <v>30</v>
      </c>
      <c r="K132" s="8" t="b">
        <v>1</v>
      </c>
      <c r="L132" s="6" t="s">
        <v>350</v>
      </c>
      <c r="M132" s="7"/>
      <c r="N132" s="7"/>
      <c r="O132" s="7"/>
      <c r="P132" s="7"/>
      <c r="Q132" s="7"/>
      <c r="R132" s="7"/>
      <c r="S132" s="7"/>
      <c r="T132" s="7"/>
      <c r="U132" s="7"/>
      <c r="V132" s="7"/>
      <c r="W132" s="7"/>
      <c r="X132" s="7"/>
      <c r="Y132" s="7"/>
      <c r="Z132" s="7"/>
      <c r="AA132" s="7"/>
      <c r="AB132" s="7"/>
      <c r="AC132" s="7"/>
    </row>
    <row r="133">
      <c r="A133" s="1">
        <v>133.0</v>
      </c>
      <c r="B133" s="3" t="s">
        <v>353</v>
      </c>
      <c r="C133" s="2" t="s">
        <v>354</v>
      </c>
      <c r="D133" s="1">
        <v>1917.0</v>
      </c>
      <c r="E133" s="2">
        <v>1920.0</v>
      </c>
      <c r="F133" s="1" t="b">
        <f t="shared" si="14"/>
        <v>0</v>
      </c>
      <c r="G133" s="1">
        <v>43.0522986071809</v>
      </c>
      <c r="H133" s="25">
        <v>-73.0396397196139</v>
      </c>
      <c r="I133" s="2"/>
      <c r="J133" s="1" t="s">
        <v>21</v>
      </c>
      <c r="K133" s="2" t="b">
        <v>0</v>
      </c>
    </row>
    <row r="134">
      <c r="A134" s="1">
        <v>134.0</v>
      </c>
      <c r="B134" s="3" t="s">
        <v>355</v>
      </c>
      <c r="C134" s="2" t="s">
        <v>356</v>
      </c>
      <c r="D134" s="2">
        <v>1971.0</v>
      </c>
      <c r="E134" s="2"/>
      <c r="F134" s="1" t="b">
        <f t="shared" si="14"/>
        <v>1</v>
      </c>
      <c r="G134" s="2">
        <v>43.27612</v>
      </c>
      <c r="H134" s="2">
        <v>73.051821</v>
      </c>
      <c r="I134" s="3" t="str">
        <f>W3WCONVERTTO3WA(G134,H134)</f>
        <v>#ERROR!</v>
      </c>
      <c r="J134" s="30" t="s">
        <v>255</v>
      </c>
      <c r="K134" s="2" t="b">
        <v>1</v>
      </c>
    </row>
    <row r="135">
      <c r="A135" s="12">
        <v>135.0</v>
      </c>
      <c r="B135" s="13" t="s">
        <v>357</v>
      </c>
      <c r="C135" s="14" t="s">
        <v>358</v>
      </c>
      <c r="D135" s="12">
        <v>1917.0</v>
      </c>
      <c r="E135" s="12">
        <v>1937.0</v>
      </c>
      <c r="F135" s="1" t="b">
        <f t="shared" si="14"/>
        <v>0</v>
      </c>
      <c r="G135" s="12">
        <v>43.6056050309148</v>
      </c>
      <c r="H135" s="29">
        <v>-72.8237121414765</v>
      </c>
      <c r="I135" s="13"/>
      <c r="J135" s="10" t="s">
        <v>359</v>
      </c>
      <c r="K135" s="14" t="b">
        <v>1</v>
      </c>
      <c r="L135" s="13"/>
      <c r="M135" s="13"/>
      <c r="N135" s="13"/>
      <c r="O135" s="13"/>
      <c r="P135" s="13"/>
      <c r="Q135" s="13"/>
      <c r="R135" s="13"/>
      <c r="S135" s="13"/>
      <c r="T135" s="13"/>
      <c r="U135" s="13"/>
      <c r="V135" s="13"/>
      <c r="W135" s="13"/>
      <c r="X135" s="13"/>
      <c r="Y135" s="13"/>
      <c r="Z135" s="13"/>
      <c r="AA135" s="13"/>
      <c r="AB135" s="13"/>
      <c r="AC135" s="13"/>
    </row>
    <row r="136">
      <c r="A136" s="1">
        <v>136.0</v>
      </c>
      <c r="B136" s="3" t="s">
        <v>360</v>
      </c>
      <c r="C136" s="2" t="s">
        <v>361</v>
      </c>
      <c r="D136" s="2">
        <v>1924.0</v>
      </c>
      <c r="E136" s="2">
        <v>1930.0</v>
      </c>
      <c r="F136" s="1" t="b">
        <f t="shared" si="14"/>
        <v>0</v>
      </c>
      <c r="G136" s="1">
        <v>43.3732130372765</v>
      </c>
      <c r="H136" s="22">
        <v>-72.9624680414519</v>
      </c>
      <c r="J136" s="1" t="s">
        <v>362</v>
      </c>
      <c r="K136" s="2" t="b">
        <v>0</v>
      </c>
      <c r="L136" s="1" t="s">
        <v>363</v>
      </c>
    </row>
    <row r="137">
      <c r="A137" s="1">
        <v>137.0</v>
      </c>
      <c r="B137" s="3" t="s">
        <v>364</v>
      </c>
      <c r="C137" s="2" t="s">
        <v>365</v>
      </c>
      <c r="D137" s="1">
        <v>1917.0</v>
      </c>
      <c r="E137" s="2"/>
      <c r="F137" s="1" t="b">
        <f t="shared" si="14"/>
        <v>1</v>
      </c>
      <c r="G137" s="2">
        <v>44.47325</v>
      </c>
      <c r="H137" s="2">
        <v>-72.81094</v>
      </c>
      <c r="I137" s="3" t="str">
        <f>W3WCONVERTTO3WA(G137,H137)</f>
        <v>#ERROR!</v>
      </c>
      <c r="J137" s="1" t="s">
        <v>366</v>
      </c>
      <c r="K137" s="2" t="b">
        <v>0</v>
      </c>
    </row>
    <row r="138">
      <c r="A138" s="1">
        <v>138.0</v>
      </c>
      <c r="B138" s="1" t="s">
        <v>367</v>
      </c>
      <c r="C138" s="2" t="s">
        <v>368</v>
      </c>
      <c r="D138" s="2">
        <v>1919.0</v>
      </c>
      <c r="E138" s="2">
        <v>1922.0</v>
      </c>
      <c r="F138" s="1" t="b">
        <f t="shared" si="14"/>
        <v>0</v>
      </c>
      <c r="G138" s="22">
        <v>43.9348575060133</v>
      </c>
      <c r="H138" s="22">
        <v>-72.956896673529</v>
      </c>
      <c r="J138" s="1" t="s">
        <v>369</v>
      </c>
      <c r="K138" s="2" t="b">
        <v>1</v>
      </c>
    </row>
    <row r="139">
      <c r="A139" s="1">
        <v>139.0</v>
      </c>
      <c r="B139" s="1" t="s">
        <v>370</v>
      </c>
      <c r="C139" s="2" t="s">
        <v>371</v>
      </c>
      <c r="D139" s="2">
        <v>1923.0</v>
      </c>
      <c r="E139" s="2">
        <v>1994.0</v>
      </c>
      <c r="F139" s="1" t="b">
        <f t="shared" si="14"/>
        <v>0</v>
      </c>
      <c r="G139" s="22">
        <v>43.9348575060133</v>
      </c>
      <c r="H139" s="22">
        <v>-72.956896673529</v>
      </c>
      <c r="J139" s="1" t="s">
        <v>313</v>
      </c>
      <c r="K139" s="2" t="b">
        <v>1</v>
      </c>
    </row>
    <row r="140">
      <c r="A140" s="12">
        <v>140.0</v>
      </c>
      <c r="B140" s="13" t="s">
        <v>372</v>
      </c>
      <c r="C140" s="14" t="s">
        <v>373</v>
      </c>
      <c r="D140" s="14">
        <v>1928.0</v>
      </c>
      <c r="E140" s="12">
        <v>1971.0</v>
      </c>
      <c r="F140" s="1" t="b">
        <f t="shared" si="14"/>
        <v>0</v>
      </c>
      <c r="G140" s="31">
        <v>44.5114261233149</v>
      </c>
      <c r="H140" s="31">
        <v>-72.7658980457943</v>
      </c>
      <c r="I140" s="13"/>
      <c r="J140" s="12" t="s">
        <v>374</v>
      </c>
      <c r="K140" s="14" t="b">
        <v>0</v>
      </c>
      <c r="L140" s="12" t="s">
        <v>375</v>
      </c>
      <c r="M140" s="13"/>
      <c r="N140" s="13"/>
      <c r="O140" s="13"/>
      <c r="P140" s="13"/>
      <c r="Q140" s="13"/>
      <c r="R140" s="13"/>
      <c r="S140" s="13"/>
      <c r="T140" s="13"/>
      <c r="U140" s="13"/>
      <c r="V140" s="13"/>
      <c r="W140" s="13"/>
      <c r="X140" s="13"/>
      <c r="Y140" s="13"/>
      <c r="Z140" s="13"/>
      <c r="AA140" s="13"/>
      <c r="AB140" s="13"/>
      <c r="AC140" s="13"/>
    </row>
    <row r="141">
      <c r="A141" s="1">
        <v>141.0</v>
      </c>
      <c r="B141" s="1" t="s">
        <v>376</v>
      </c>
      <c r="C141" s="2"/>
      <c r="D141" s="1">
        <v>1924.0</v>
      </c>
      <c r="E141" s="1">
        <v>1930.0</v>
      </c>
      <c r="F141" s="1" t="b">
        <f t="shared" si="14"/>
        <v>0</v>
      </c>
      <c r="G141" s="22">
        <v>44.7200685727749</v>
      </c>
      <c r="H141" s="4">
        <v>-72.7086136919267</v>
      </c>
      <c r="J141" s="1" t="s">
        <v>377</v>
      </c>
      <c r="K141" s="1" t="b">
        <v>0</v>
      </c>
      <c r="L141" s="1"/>
    </row>
    <row r="142">
      <c r="A142" s="1">
        <v>142.0</v>
      </c>
      <c r="B142" s="1" t="s">
        <v>378</v>
      </c>
      <c r="C142" s="2" t="s">
        <v>379</v>
      </c>
      <c r="D142" s="2">
        <v>1931.0</v>
      </c>
      <c r="E142" s="2">
        <v>1955.0</v>
      </c>
      <c r="F142" s="1" t="b">
        <f t="shared" si="14"/>
        <v>0</v>
      </c>
      <c r="G142" s="22">
        <v>44.9340312222266</v>
      </c>
      <c r="H142" s="4">
        <v>-72.5343129718395</v>
      </c>
      <c r="J142" s="1" t="s">
        <v>255</v>
      </c>
      <c r="K142" s="2" t="b">
        <v>1</v>
      </c>
      <c r="L142" s="1"/>
    </row>
    <row r="143">
      <c r="A143" s="1">
        <v>143.0</v>
      </c>
      <c r="B143" s="1" t="s">
        <v>380</v>
      </c>
      <c r="C143" s="2" t="s">
        <v>381</v>
      </c>
      <c r="D143" s="2">
        <v>1956.0</v>
      </c>
      <c r="E143" s="2">
        <v>2001.0</v>
      </c>
      <c r="F143" s="1" t="b">
        <f t="shared" si="14"/>
        <v>0</v>
      </c>
      <c r="G143" s="22">
        <v>44.9340312222266</v>
      </c>
      <c r="H143" s="4">
        <v>-72.5343129718395</v>
      </c>
      <c r="J143" s="1" t="s">
        <v>255</v>
      </c>
      <c r="K143" s="2" t="b">
        <v>1</v>
      </c>
    </row>
    <row r="144">
      <c r="A144" s="1">
        <v>144.0</v>
      </c>
      <c r="B144" s="1" t="s">
        <v>382</v>
      </c>
      <c r="C144" s="2" t="s">
        <v>383</v>
      </c>
      <c r="D144" s="2">
        <v>2001.0</v>
      </c>
      <c r="E144" s="2"/>
      <c r="F144" s="1" t="b">
        <f t="shared" si="14"/>
        <v>1</v>
      </c>
      <c r="G144" s="22">
        <v>44.9340312222266</v>
      </c>
      <c r="H144" s="4">
        <v>-72.5343129718395</v>
      </c>
      <c r="I144" s="3" t="str">
        <f>W3WCONVERTTO3WA(G144,H144)</f>
        <v>#ERROR!</v>
      </c>
      <c r="J144" s="2" t="s">
        <v>101</v>
      </c>
      <c r="K144" s="2" t="b">
        <v>1</v>
      </c>
      <c r="L144" s="2" t="s">
        <v>384</v>
      </c>
    </row>
    <row r="145">
      <c r="A145" s="12">
        <v>145.0</v>
      </c>
      <c r="B145" s="12" t="s">
        <v>385</v>
      </c>
      <c r="C145" s="14"/>
      <c r="D145" s="12">
        <v>1928.0</v>
      </c>
      <c r="E145" s="14"/>
      <c r="F145" s="1" t="b">
        <f t="shared" si="14"/>
        <v>1</v>
      </c>
      <c r="G145" s="1">
        <v>43.401060982572</v>
      </c>
      <c r="H145" s="22">
        <v>-72.9561690278064</v>
      </c>
      <c r="I145" s="13"/>
      <c r="J145" s="12"/>
      <c r="K145" s="12" t="b">
        <v>0</v>
      </c>
      <c r="L145" s="12" t="s">
        <v>386</v>
      </c>
      <c r="M145" s="13"/>
      <c r="N145" s="13"/>
      <c r="O145" s="13"/>
      <c r="P145" s="13"/>
      <c r="Q145" s="13"/>
      <c r="R145" s="13"/>
      <c r="S145" s="13"/>
      <c r="T145" s="13"/>
      <c r="U145" s="13"/>
      <c r="V145" s="13"/>
      <c r="W145" s="13"/>
      <c r="X145" s="13"/>
      <c r="Y145" s="13"/>
      <c r="Z145" s="13"/>
      <c r="AA145" s="13"/>
      <c r="AB145" s="13"/>
      <c r="AC145" s="13"/>
    </row>
    <row r="146">
      <c r="A146" s="1">
        <v>146.0</v>
      </c>
      <c r="B146" s="1" t="s">
        <v>387</v>
      </c>
      <c r="C146" s="2" t="s">
        <v>388</v>
      </c>
      <c r="D146" s="2">
        <v>1935.0</v>
      </c>
      <c r="E146" s="2">
        <v>1962.0</v>
      </c>
      <c r="F146" s="1" t="b">
        <f t="shared" si="14"/>
        <v>0</v>
      </c>
      <c r="G146" s="1">
        <v>43.401060982572</v>
      </c>
      <c r="H146" s="22">
        <v>-72.9561690278064</v>
      </c>
      <c r="J146" s="1" t="s">
        <v>389</v>
      </c>
      <c r="K146" s="2" t="b">
        <v>1</v>
      </c>
    </row>
    <row r="147">
      <c r="A147" s="1">
        <v>147.0</v>
      </c>
      <c r="B147" s="1" t="s">
        <v>390</v>
      </c>
      <c r="C147" s="2" t="s">
        <v>391</v>
      </c>
      <c r="D147" s="2">
        <v>1962.0</v>
      </c>
      <c r="E147" s="2">
        <v>1972.0</v>
      </c>
      <c r="F147" s="1" t="b">
        <f t="shared" si="14"/>
        <v>0</v>
      </c>
      <c r="G147" s="1">
        <v>43.401060982572</v>
      </c>
      <c r="H147" s="22">
        <v>-72.9561690278064</v>
      </c>
      <c r="J147" s="1" t="s">
        <v>392</v>
      </c>
      <c r="K147" s="2" t="b">
        <v>1</v>
      </c>
      <c r="L147" s="1" t="s">
        <v>393</v>
      </c>
    </row>
    <row r="148">
      <c r="A148" s="1">
        <v>148.0</v>
      </c>
      <c r="B148" s="1" t="s">
        <v>390</v>
      </c>
      <c r="C148" s="2" t="s">
        <v>394</v>
      </c>
      <c r="D148" s="2">
        <v>1972.0</v>
      </c>
      <c r="E148" s="2">
        <v>2011.0</v>
      </c>
      <c r="F148" s="1" t="b">
        <f t="shared" si="14"/>
        <v>0</v>
      </c>
      <c r="G148" s="1">
        <v>43.4033870859594</v>
      </c>
      <c r="H148" s="1">
        <v>-72.9536737507028</v>
      </c>
      <c r="J148" s="1" t="s">
        <v>392</v>
      </c>
      <c r="K148" s="2" t="b">
        <v>1</v>
      </c>
      <c r="L148" s="1" t="s">
        <v>393</v>
      </c>
    </row>
    <row r="149">
      <c r="A149" s="12">
        <v>149.0</v>
      </c>
      <c r="B149" s="12" t="s">
        <v>395</v>
      </c>
      <c r="C149" s="14" t="s">
        <v>396</v>
      </c>
      <c r="D149" s="14">
        <v>2010.0</v>
      </c>
      <c r="E149" s="14"/>
      <c r="F149" s="1" t="b">
        <f t="shared" si="14"/>
        <v>1</v>
      </c>
      <c r="G149" s="14">
        <v>43.3988</v>
      </c>
      <c r="H149" s="14">
        <v>-72.95477</v>
      </c>
      <c r="I149" s="13" t="str">
        <f t="shared" ref="I149:I150" si="22">W3WCONVERTTO3WA(G149,H149)</f>
        <v>#ERROR!</v>
      </c>
      <c r="J149" s="14" t="s">
        <v>101</v>
      </c>
      <c r="K149" s="14" t="b">
        <v>1</v>
      </c>
      <c r="L149" s="13"/>
      <c r="M149" s="13"/>
      <c r="N149" s="13"/>
      <c r="O149" s="13"/>
      <c r="P149" s="13"/>
      <c r="Q149" s="13"/>
      <c r="R149" s="13"/>
      <c r="S149" s="13"/>
      <c r="T149" s="13"/>
      <c r="U149" s="13"/>
      <c r="V149" s="13"/>
      <c r="W149" s="13"/>
      <c r="X149" s="13"/>
      <c r="Y149" s="13"/>
      <c r="Z149" s="13"/>
      <c r="AA149" s="13"/>
      <c r="AB149" s="13"/>
      <c r="AC149" s="13"/>
    </row>
    <row r="150">
      <c r="A150" s="1">
        <v>150.0</v>
      </c>
      <c r="B150" s="1" t="s">
        <v>397</v>
      </c>
      <c r="C150" s="1" t="s">
        <v>398</v>
      </c>
      <c r="D150" s="1">
        <v>1977.0</v>
      </c>
      <c r="E150" s="2"/>
      <c r="F150" s="1" t="b">
        <f t="shared" si="14"/>
        <v>1</v>
      </c>
      <c r="G150" s="2">
        <v>43.40412</v>
      </c>
      <c r="H150" s="2">
        <v>-72.95313</v>
      </c>
      <c r="I150" s="3" t="str">
        <f t="shared" si="22"/>
        <v>#ERROR!</v>
      </c>
      <c r="J150" s="1" t="s">
        <v>333</v>
      </c>
      <c r="K150" s="2" t="b">
        <v>1</v>
      </c>
    </row>
    <row r="151">
      <c r="A151" s="12">
        <v>151.0</v>
      </c>
      <c r="B151" s="13" t="s">
        <v>399</v>
      </c>
      <c r="C151" s="14" t="s">
        <v>400</v>
      </c>
      <c r="D151" s="12">
        <v>1924.0</v>
      </c>
      <c r="E151" s="14">
        <v>1968.0</v>
      </c>
      <c r="F151" s="1" t="b">
        <f t="shared" si="14"/>
        <v>0</v>
      </c>
      <c r="G151" s="32">
        <v>43.6632574369087</v>
      </c>
      <c r="H151" s="12">
        <v>-72.8325259226143</v>
      </c>
      <c r="I151" s="13"/>
      <c r="J151" s="12" t="s">
        <v>401</v>
      </c>
      <c r="K151" s="14" t="b">
        <v>1</v>
      </c>
      <c r="L151" s="13"/>
      <c r="M151" s="13"/>
      <c r="N151" s="13"/>
      <c r="O151" s="13"/>
      <c r="P151" s="13"/>
      <c r="Q151" s="13"/>
      <c r="R151" s="13"/>
      <c r="S151" s="13"/>
      <c r="T151" s="13"/>
      <c r="U151" s="13"/>
      <c r="V151" s="13"/>
      <c r="W151" s="13"/>
      <c r="X151" s="13"/>
      <c r="Y151" s="13"/>
      <c r="Z151" s="13"/>
      <c r="AA151" s="13"/>
      <c r="AB151" s="13"/>
      <c r="AC151" s="13"/>
    </row>
    <row r="152">
      <c r="A152" s="1">
        <v>152.0</v>
      </c>
      <c r="B152" s="1" t="s">
        <v>402</v>
      </c>
      <c r="C152" s="2" t="s">
        <v>403</v>
      </c>
      <c r="D152" s="2">
        <v>1965.0</v>
      </c>
      <c r="E152" s="2">
        <v>2001.0</v>
      </c>
      <c r="F152" s="1" t="b">
        <f t="shared" si="14"/>
        <v>0</v>
      </c>
      <c r="G152" s="1">
        <v>43.3495749202065</v>
      </c>
      <c r="H152" s="22">
        <v>-72.9523989795718</v>
      </c>
      <c r="J152" s="1" t="s">
        <v>280</v>
      </c>
      <c r="K152" s="2" t="b">
        <v>1</v>
      </c>
    </row>
    <row r="153">
      <c r="A153" s="1">
        <v>153.0</v>
      </c>
      <c r="B153" s="1" t="s">
        <v>404</v>
      </c>
      <c r="C153" s="2" t="s">
        <v>405</v>
      </c>
      <c r="D153" s="1">
        <v>2002.0</v>
      </c>
      <c r="E153" s="1">
        <v>2009.0</v>
      </c>
      <c r="F153" s="1" t="b">
        <f t="shared" si="14"/>
        <v>0</v>
      </c>
      <c r="G153" s="1">
        <v>43.3495749202065</v>
      </c>
      <c r="H153" s="22">
        <v>-72.9523989795718</v>
      </c>
      <c r="J153" s="1" t="s">
        <v>280</v>
      </c>
      <c r="K153" s="2" t="b">
        <v>1</v>
      </c>
      <c r="L153" s="1" t="s">
        <v>406</v>
      </c>
    </row>
    <row r="154">
      <c r="A154" s="1">
        <v>154.0</v>
      </c>
      <c r="B154" s="1" t="s">
        <v>407</v>
      </c>
      <c r="C154" s="2" t="s">
        <v>408</v>
      </c>
      <c r="D154" s="1">
        <v>2009.0</v>
      </c>
      <c r="E154" s="2"/>
      <c r="F154" s="1" t="b">
        <f t="shared" si="14"/>
        <v>1</v>
      </c>
      <c r="G154" s="2">
        <v>43.34563</v>
      </c>
      <c r="H154" s="2">
        <v>-72.95288</v>
      </c>
      <c r="I154" s="3" t="str">
        <f t="shared" ref="I154:I162" si="23">W3WCONVERTTO3WA(G154,H154)</f>
        <v>#ERROR!</v>
      </c>
      <c r="J154" s="2" t="s">
        <v>101</v>
      </c>
      <c r="K154" s="2" t="b">
        <v>1</v>
      </c>
      <c r="L154" s="2" t="s">
        <v>409</v>
      </c>
    </row>
    <row r="155">
      <c r="A155" s="12">
        <v>155.0</v>
      </c>
      <c r="B155" s="13" t="s">
        <v>410</v>
      </c>
      <c r="C155" s="14" t="s">
        <v>411</v>
      </c>
      <c r="D155" s="12">
        <v>1983.0</v>
      </c>
      <c r="E155" s="14"/>
      <c r="F155" s="1" t="b">
        <f t="shared" si="14"/>
        <v>1</v>
      </c>
      <c r="G155" s="14">
        <v>43.67885</v>
      </c>
      <c r="H155" s="14">
        <v>-72.63842</v>
      </c>
      <c r="I155" s="13" t="str">
        <f t="shared" si="23"/>
        <v>#ERROR!</v>
      </c>
      <c r="J155" s="12" t="s">
        <v>313</v>
      </c>
      <c r="K155" s="14" t="b">
        <v>0</v>
      </c>
      <c r="L155" s="12" t="s">
        <v>412</v>
      </c>
      <c r="M155" s="13"/>
      <c r="N155" s="13"/>
      <c r="O155" s="13"/>
      <c r="P155" s="13"/>
      <c r="Q155" s="13"/>
      <c r="R155" s="13"/>
      <c r="S155" s="13"/>
      <c r="T155" s="13"/>
      <c r="U155" s="13"/>
      <c r="V155" s="13"/>
      <c r="W155" s="13"/>
      <c r="X155" s="13"/>
      <c r="Y155" s="13"/>
      <c r="Z155" s="13"/>
      <c r="AA155" s="13"/>
      <c r="AB155" s="13"/>
      <c r="AC155" s="13"/>
    </row>
    <row r="156">
      <c r="A156" s="1">
        <v>156.0</v>
      </c>
      <c r="B156" s="2" t="s">
        <v>413</v>
      </c>
      <c r="C156" s="2" t="s">
        <v>414</v>
      </c>
      <c r="D156" s="2">
        <v>1963.0</v>
      </c>
      <c r="E156" s="2">
        <v>1972.0</v>
      </c>
      <c r="F156" s="1" t="b">
        <f t="shared" si="14"/>
        <v>0</v>
      </c>
      <c r="G156" s="3">
        <v>43.399404</v>
      </c>
      <c r="H156" s="3">
        <v>-72.954848</v>
      </c>
      <c r="I156" s="3" t="str">
        <f t="shared" si="23"/>
        <v>#ERROR!</v>
      </c>
      <c r="J156" s="2" t="s">
        <v>41</v>
      </c>
      <c r="K156" s="2" t="b">
        <v>1</v>
      </c>
      <c r="L156" s="1" t="s">
        <v>415</v>
      </c>
    </row>
    <row r="157">
      <c r="A157" s="1">
        <v>157.0</v>
      </c>
      <c r="B157" s="2" t="s">
        <v>413</v>
      </c>
      <c r="C157" s="2" t="s">
        <v>416</v>
      </c>
      <c r="D157" s="2">
        <v>1973.0</v>
      </c>
      <c r="E157" s="2">
        <v>2011.0</v>
      </c>
      <c r="F157" s="1" t="b">
        <f t="shared" si="14"/>
        <v>0</v>
      </c>
      <c r="G157" s="2">
        <v>43.397594</v>
      </c>
      <c r="H157" s="2">
        <v>-72.954901</v>
      </c>
      <c r="I157" s="3" t="str">
        <f t="shared" si="23"/>
        <v>#ERROR!</v>
      </c>
      <c r="J157" s="2" t="s">
        <v>41</v>
      </c>
      <c r="K157" s="2" t="b">
        <v>1</v>
      </c>
    </row>
    <row r="158">
      <c r="A158" s="12">
        <v>158.0</v>
      </c>
      <c r="B158" s="13" t="s">
        <v>417</v>
      </c>
      <c r="C158" s="14" t="s">
        <v>418</v>
      </c>
      <c r="D158" s="14">
        <v>1922.0</v>
      </c>
      <c r="E158" s="14">
        <v>1962.0</v>
      </c>
      <c r="F158" s="1" t="b">
        <f t="shared" si="14"/>
        <v>0</v>
      </c>
      <c r="G158" s="14">
        <v>43.24674</v>
      </c>
      <c r="H158" s="14">
        <v>-72.9376</v>
      </c>
      <c r="I158" s="13" t="str">
        <f t="shared" si="23"/>
        <v>#ERROR!</v>
      </c>
      <c r="J158" s="12" t="s">
        <v>419</v>
      </c>
      <c r="K158" s="14" t="b">
        <v>1</v>
      </c>
      <c r="L158" s="13"/>
      <c r="M158" s="13"/>
      <c r="N158" s="13"/>
      <c r="O158" s="13"/>
      <c r="P158" s="13"/>
      <c r="Q158" s="13"/>
      <c r="R158" s="13"/>
      <c r="S158" s="13"/>
      <c r="T158" s="13"/>
      <c r="U158" s="13"/>
      <c r="V158" s="13"/>
      <c r="W158" s="13"/>
      <c r="X158" s="13"/>
      <c r="Y158" s="13"/>
      <c r="Z158" s="13"/>
      <c r="AA158" s="13"/>
      <c r="AB158" s="13"/>
      <c r="AC158" s="13"/>
    </row>
    <row r="159">
      <c r="A159" s="1">
        <v>159.0</v>
      </c>
      <c r="B159" s="3" t="s">
        <v>420</v>
      </c>
      <c r="C159" s="2" t="s">
        <v>421</v>
      </c>
      <c r="D159" s="2">
        <v>1934.0</v>
      </c>
      <c r="E159" s="2">
        <v>1962.0</v>
      </c>
      <c r="F159" s="1" t="b">
        <f t="shared" si="14"/>
        <v>0</v>
      </c>
      <c r="G159" s="2">
        <v>43.24674</v>
      </c>
      <c r="H159" s="2">
        <v>-72.9376</v>
      </c>
      <c r="I159" s="3" t="str">
        <f t="shared" si="23"/>
        <v>#ERROR!</v>
      </c>
      <c r="J159" s="1" t="s">
        <v>255</v>
      </c>
      <c r="K159" s="2" t="b">
        <v>1</v>
      </c>
    </row>
    <row r="160">
      <c r="A160" s="12">
        <v>160.0</v>
      </c>
      <c r="B160" s="13" t="s">
        <v>422</v>
      </c>
      <c r="C160" s="14" t="s">
        <v>423</v>
      </c>
      <c r="D160" s="14">
        <v>1962.0</v>
      </c>
      <c r="E160" s="14">
        <v>1997.0</v>
      </c>
      <c r="F160" s="1" t="b">
        <f t="shared" si="14"/>
        <v>0</v>
      </c>
      <c r="G160" s="14">
        <v>43.24674</v>
      </c>
      <c r="H160" s="14">
        <v>-72.9376</v>
      </c>
      <c r="I160" s="13" t="str">
        <f t="shared" si="23"/>
        <v>#ERROR!</v>
      </c>
      <c r="J160" s="12" t="s">
        <v>424</v>
      </c>
      <c r="K160" s="14" t="b">
        <v>1</v>
      </c>
      <c r="L160" s="12" t="s">
        <v>425</v>
      </c>
      <c r="M160" s="13"/>
      <c r="N160" s="13"/>
      <c r="O160" s="13"/>
      <c r="P160" s="13"/>
      <c r="Q160" s="13"/>
      <c r="R160" s="13"/>
      <c r="S160" s="13"/>
      <c r="T160" s="13"/>
      <c r="U160" s="13"/>
      <c r="V160" s="13"/>
      <c r="W160" s="13"/>
      <c r="X160" s="13"/>
      <c r="Y160" s="13"/>
      <c r="Z160" s="13"/>
      <c r="AA160" s="13"/>
      <c r="AB160" s="13"/>
      <c r="AC160" s="13"/>
    </row>
    <row r="161">
      <c r="A161" s="12">
        <v>161.0</v>
      </c>
      <c r="B161" s="13" t="s">
        <v>426</v>
      </c>
      <c r="C161" s="14" t="s">
        <v>427</v>
      </c>
      <c r="D161" s="14">
        <v>1977.0</v>
      </c>
      <c r="E161" s="14"/>
      <c r="F161" s="1" t="b">
        <f t="shared" si="14"/>
        <v>1</v>
      </c>
      <c r="G161" s="14">
        <v>42.896883</v>
      </c>
      <c r="H161" s="14">
        <v>-73.104068</v>
      </c>
      <c r="I161" s="13" t="str">
        <f t="shared" si="23"/>
        <v>#ERROR!</v>
      </c>
      <c r="J161" s="12" t="s">
        <v>76</v>
      </c>
      <c r="K161" s="14" t="b">
        <v>1</v>
      </c>
      <c r="L161" s="13"/>
      <c r="M161" s="13"/>
      <c r="N161" s="13"/>
      <c r="O161" s="13"/>
      <c r="P161" s="13"/>
      <c r="Q161" s="13"/>
      <c r="R161" s="13"/>
      <c r="S161" s="13"/>
      <c r="T161" s="13"/>
      <c r="U161" s="13"/>
      <c r="V161" s="13"/>
      <c r="W161" s="13"/>
      <c r="X161" s="13"/>
      <c r="Y161" s="13"/>
      <c r="Z161" s="13"/>
      <c r="AA161" s="13"/>
      <c r="AB161" s="13"/>
      <c r="AC161" s="13"/>
    </row>
    <row r="162">
      <c r="A162" s="12">
        <v>162.0</v>
      </c>
      <c r="B162" s="13" t="s">
        <v>428</v>
      </c>
      <c r="C162" s="14" t="s">
        <v>429</v>
      </c>
      <c r="D162" s="14">
        <v>1979.0</v>
      </c>
      <c r="E162" s="14"/>
      <c r="F162" s="1" t="b">
        <f t="shared" si="14"/>
        <v>1</v>
      </c>
      <c r="G162" s="14">
        <v>43.48769</v>
      </c>
      <c r="H162" s="14">
        <v>-72.92452</v>
      </c>
      <c r="I162" s="13" t="str">
        <f t="shared" si="23"/>
        <v>#ERROR!</v>
      </c>
      <c r="J162" s="12" t="s">
        <v>76</v>
      </c>
      <c r="K162" s="14" t="b">
        <v>1</v>
      </c>
      <c r="L162" s="12" t="s">
        <v>430</v>
      </c>
      <c r="M162" s="13"/>
      <c r="N162" s="13"/>
      <c r="O162" s="13"/>
      <c r="P162" s="13"/>
      <c r="Q162" s="13"/>
      <c r="R162" s="13"/>
      <c r="S162" s="13"/>
      <c r="T162" s="13"/>
      <c r="U162" s="13"/>
      <c r="V162" s="13"/>
      <c r="W162" s="13"/>
      <c r="X162" s="13"/>
      <c r="Y162" s="13"/>
      <c r="Z162" s="13"/>
      <c r="AA162" s="13"/>
      <c r="AB162" s="13"/>
      <c r="AC162" s="13"/>
    </row>
    <row r="163">
      <c r="A163" s="1">
        <v>163.0</v>
      </c>
      <c r="B163" s="1" t="s">
        <v>431</v>
      </c>
      <c r="C163" s="33" t="s">
        <v>432</v>
      </c>
      <c r="D163" s="1">
        <v>1917.0</v>
      </c>
      <c r="E163" s="2">
        <v>1940.0</v>
      </c>
      <c r="F163" s="1" t="b">
        <f t="shared" si="14"/>
        <v>0</v>
      </c>
      <c r="G163" s="1">
        <v>44.3026565273464</v>
      </c>
      <c r="H163" s="25">
        <v>-2.88498621563225</v>
      </c>
      <c r="I163" s="2" t="s">
        <v>73</v>
      </c>
      <c r="J163" s="12" t="s">
        <v>76</v>
      </c>
      <c r="K163" s="2" t="b">
        <v>1</v>
      </c>
      <c r="L163" s="20"/>
      <c r="M163" s="20"/>
      <c r="N163" s="20"/>
      <c r="O163" s="20"/>
      <c r="P163" s="20"/>
      <c r="Q163" s="20"/>
      <c r="R163" s="20"/>
      <c r="S163" s="20"/>
      <c r="T163" s="20"/>
      <c r="U163" s="20"/>
      <c r="V163" s="20"/>
      <c r="W163" s="20"/>
      <c r="X163" s="20"/>
      <c r="Y163" s="20"/>
      <c r="Z163" s="20"/>
      <c r="AA163" s="20"/>
      <c r="AB163" s="20"/>
      <c r="AC163" s="20"/>
    </row>
    <row r="164">
      <c r="A164" s="1">
        <v>164.0</v>
      </c>
      <c r="B164" s="1" t="s">
        <v>433</v>
      </c>
      <c r="C164" s="2" t="s">
        <v>434</v>
      </c>
      <c r="D164" s="1">
        <v>1948.0</v>
      </c>
      <c r="E164" s="1"/>
      <c r="F164" s="1" t="b">
        <f t="shared" si="14"/>
        <v>1</v>
      </c>
      <c r="G164" s="2">
        <v>44.301029</v>
      </c>
      <c r="H164" s="2">
        <v>-72.881952</v>
      </c>
      <c r="I164" s="3" t="str">
        <f t="shared" ref="I164:I165" si="24">W3WCONVERTTO3WA(G164,H164)</f>
        <v>#ERROR!</v>
      </c>
      <c r="J164" s="1" t="s">
        <v>435</v>
      </c>
      <c r="K164" s="2" t="b">
        <v>1</v>
      </c>
      <c r="L164" s="1" t="s">
        <v>436</v>
      </c>
    </row>
    <row r="165">
      <c r="A165" s="1">
        <v>165.0</v>
      </c>
      <c r="B165" s="1" t="s">
        <v>437</v>
      </c>
      <c r="C165" s="2" t="s">
        <v>438</v>
      </c>
      <c r="D165" s="2">
        <v>1948.0</v>
      </c>
      <c r="E165" s="2"/>
      <c r="F165" s="1" t="b">
        <f t="shared" si="14"/>
        <v>1</v>
      </c>
      <c r="G165" s="2">
        <v>44.301</v>
      </c>
      <c r="H165" s="2">
        <v>-72.883</v>
      </c>
      <c r="I165" s="3" t="str">
        <f t="shared" si="24"/>
        <v>#ERROR!</v>
      </c>
      <c r="K165" s="2" t="b">
        <v>1</v>
      </c>
    </row>
    <row r="166">
      <c r="A166" s="12">
        <v>166.0</v>
      </c>
      <c r="B166" s="13" t="s">
        <v>439</v>
      </c>
      <c r="C166" s="14" t="s">
        <v>440</v>
      </c>
      <c r="D166" s="14">
        <v>1856.0</v>
      </c>
      <c r="E166" s="12"/>
      <c r="F166" s="1" t="b">
        <f t="shared" si="14"/>
        <v>1</v>
      </c>
      <c r="G166" s="12">
        <v>44.5284164551514</v>
      </c>
      <c r="H166" s="29">
        <v>-72.815881444798</v>
      </c>
      <c r="I166" s="13"/>
      <c r="J166" s="12" t="s">
        <v>441</v>
      </c>
      <c r="K166" s="14" t="b">
        <v>0</v>
      </c>
      <c r="L166" s="12" t="s">
        <v>442</v>
      </c>
      <c r="M166" s="13"/>
      <c r="N166" s="13"/>
      <c r="O166" s="13"/>
      <c r="P166" s="13"/>
      <c r="Q166" s="13"/>
      <c r="R166" s="13"/>
      <c r="S166" s="13"/>
      <c r="T166" s="13"/>
      <c r="U166" s="13"/>
      <c r="V166" s="13"/>
      <c r="W166" s="13"/>
      <c r="X166" s="13"/>
      <c r="Y166" s="13"/>
      <c r="Z166" s="13"/>
      <c r="AA166" s="13"/>
      <c r="AB166" s="13"/>
      <c r="AC166" s="13"/>
    </row>
    <row r="167">
      <c r="A167" s="1">
        <v>167.0</v>
      </c>
      <c r="B167" s="3" t="s">
        <v>443</v>
      </c>
      <c r="C167" s="2" t="s">
        <v>444</v>
      </c>
      <c r="D167" s="2">
        <v>1959.0</v>
      </c>
      <c r="E167" s="2"/>
      <c r="F167" s="1" t="b">
        <f t="shared" si="14"/>
        <v>1</v>
      </c>
      <c r="G167" s="2">
        <v>43.6717332</v>
      </c>
      <c r="H167" s="2">
        <v>-72.7984724</v>
      </c>
      <c r="I167" s="3" t="str">
        <f t="shared" ref="I167:I173" si="25">W3WCONVERTTO3WA(G167,H167)</f>
        <v>#ERROR!</v>
      </c>
      <c r="J167" s="2" t="s">
        <v>27</v>
      </c>
      <c r="K167" s="2" t="b">
        <v>0</v>
      </c>
    </row>
    <row r="168">
      <c r="A168" s="1">
        <v>168.0</v>
      </c>
      <c r="B168" s="3" t="s">
        <v>445</v>
      </c>
      <c r="C168" s="2" t="s">
        <v>446</v>
      </c>
      <c r="D168" s="2">
        <v>1932.0</v>
      </c>
      <c r="E168" s="1">
        <v>1968.0</v>
      </c>
      <c r="F168" s="1" t="b">
        <f t="shared" si="14"/>
        <v>0</v>
      </c>
      <c r="G168" s="2">
        <v>43.71714</v>
      </c>
      <c r="H168" s="2">
        <v>-72.874611</v>
      </c>
      <c r="I168" s="3" t="str">
        <f t="shared" si="25"/>
        <v>#ERROR!</v>
      </c>
      <c r="J168" s="1" t="s">
        <v>419</v>
      </c>
      <c r="K168" s="2" t="b">
        <v>1</v>
      </c>
    </row>
    <row r="169">
      <c r="A169" s="1">
        <v>169.0</v>
      </c>
      <c r="B169" s="3" t="s">
        <v>447</v>
      </c>
      <c r="C169" s="2" t="s">
        <v>448</v>
      </c>
      <c r="D169" s="2">
        <v>1925.0</v>
      </c>
      <c r="E169" s="2">
        <v>1965.0</v>
      </c>
      <c r="F169" s="1" t="b">
        <f t="shared" si="14"/>
        <v>0</v>
      </c>
      <c r="G169" s="2">
        <v>43.71714</v>
      </c>
      <c r="H169" s="2">
        <v>-72.874611</v>
      </c>
      <c r="I169" s="3" t="str">
        <f t="shared" si="25"/>
        <v>#ERROR!</v>
      </c>
      <c r="J169" s="1" t="s">
        <v>230</v>
      </c>
      <c r="K169" s="2" t="b">
        <v>1</v>
      </c>
    </row>
    <row r="170">
      <c r="A170" s="1">
        <v>170.0</v>
      </c>
      <c r="B170" s="3" t="s">
        <v>449</v>
      </c>
      <c r="C170" s="2" t="s">
        <v>450</v>
      </c>
      <c r="D170" s="2">
        <v>1920.0</v>
      </c>
      <c r="E170" s="2">
        <v>1951.0</v>
      </c>
      <c r="F170" s="1" t="b">
        <f t="shared" si="14"/>
        <v>0</v>
      </c>
      <c r="G170" s="2">
        <v>43.71714</v>
      </c>
      <c r="H170" s="2">
        <v>-72.874611</v>
      </c>
      <c r="I170" s="3" t="str">
        <f t="shared" si="25"/>
        <v>#ERROR!</v>
      </c>
      <c r="J170" s="1" t="s">
        <v>230</v>
      </c>
      <c r="K170" s="2" t="b">
        <v>0</v>
      </c>
    </row>
    <row r="171">
      <c r="A171" s="1">
        <v>171.0</v>
      </c>
      <c r="B171" s="3" t="s">
        <v>451</v>
      </c>
      <c r="C171" s="2" t="s">
        <v>452</v>
      </c>
      <c r="D171" s="2">
        <v>1923.0</v>
      </c>
      <c r="E171" s="2">
        <v>1965.0</v>
      </c>
      <c r="F171" s="1" t="b">
        <f t="shared" si="14"/>
        <v>0</v>
      </c>
      <c r="G171" s="2">
        <v>43.71714</v>
      </c>
      <c r="H171" s="2">
        <v>-72.874611</v>
      </c>
      <c r="I171" s="3" t="str">
        <f t="shared" si="25"/>
        <v>#ERROR!</v>
      </c>
      <c r="J171" s="1" t="s">
        <v>76</v>
      </c>
      <c r="K171" s="2" t="b">
        <v>1</v>
      </c>
    </row>
    <row r="172">
      <c r="A172" s="1">
        <v>172.0</v>
      </c>
      <c r="B172" s="3" t="s">
        <v>453</v>
      </c>
      <c r="C172" s="2" t="s">
        <v>454</v>
      </c>
      <c r="D172" s="2">
        <v>1940.0</v>
      </c>
      <c r="E172" s="2"/>
      <c r="F172" s="1" t="b">
        <f t="shared" si="14"/>
        <v>1</v>
      </c>
      <c r="G172" s="2">
        <v>44.52423</v>
      </c>
      <c r="H172" s="2">
        <v>-72.80756</v>
      </c>
      <c r="I172" s="3" t="str">
        <f t="shared" si="25"/>
        <v>#ERROR!</v>
      </c>
      <c r="J172" s="1" t="s">
        <v>455</v>
      </c>
      <c r="K172" s="2" t="b">
        <v>0</v>
      </c>
      <c r="L172" s="1" t="s">
        <v>456</v>
      </c>
    </row>
    <row r="173">
      <c r="A173" s="1">
        <v>173.0</v>
      </c>
      <c r="B173" s="3" t="s">
        <v>457</v>
      </c>
      <c r="C173" s="2" t="s">
        <v>458</v>
      </c>
      <c r="D173" s="2">
        <v>1935.0</v>
      </c>
      <c r="E173" s="2"/>
      <c r="F173" s="1" t="b">
        <f t="shared" si="14"/>
        <v>1</v>
      </c>
      <c r="G173" s="1">
        <v>43.3542387560764</v>
      </c>
      <c r="H173" s="25">
        <v>-72.9285057094465</v>
      </c>
      <c r="I173" s="3" t="str">
        <f t="shared" si="25"/>
        <v>#ERROR!</v>
      </c>
      <c r="J173" s="1" t="s">
        <v>255</v>
      </c>
      <c r="K173" s="2" t="b">
        <v>1</v>
      </c>
    </row>
    <row r="174">
      <c r="A174" s="1">
        <v>174.0</v>
      </c>
      <c r="B174" s="1" t="s">
        <v>459</v>
      </c>
      <c r="C174" s="2" t="s">
        <v>460</v>
      </c>
      <c r="D174" s="2">
        <v>1925.0</v>
      </c>
      <c r="E174" s="2">
        <v>1932.0</v>
      </c>
      <c r="F174" s="1" t="b">
        <f t="shared" si="14"/>
        <v>0</v>
      </c>
      <c r="G174" s="1">
        <v>44.703548978546</v>
      </c>
      <c r="H174" s="25">
        <v>-72.6856396445435</v>
      </c>
      <c r="J174" s="1" t="s">
        <v>151</v>
      </c>
      <c r="K174" s="2" t="b">
        <v>1</v>
      </c>
    </row>
    <row r="175">
      <c r="A175" s="1">
        <v>175.0</v>
      </c>
      <c r="B175" s="1" t="s">
        <v>461</v>
      </c>
      <c r="C175" s="2" t="s">
        <v>462</v>
      </c>
      <c r="D175" s="2">
        <v>1932.0</v>
      </c>
      <c r="E175" s="2">
        <v>1989.0</v>
      </c>
      <c r="F175" s="1" t="b">
        <f t="shared" si="14"/>
        <v>0</v>
      </c>
      <c r="G175" s="1">
        <v>44.703548978546</v>
      </c>
      <c r="H175" s="25">
        <v>-72.6856396445435</v>
      </c>
      <c r="I175" s="3" t="str">
        <f>W3WCONVERTTO3WA(G175,H175)</f>
        <v>#ERROR!</v>
      </c>
      <c r="J175" s="2" t="s">
        <v>30</v>
      </c>
      <c r="K175" s="2" t="b">
        <v>1</v>
      </c>
    </row>
    <row r="176">
      <c r="A176" s="1">
        <v>176.0</v>
      </c>
      <c r="B176" s="3" t="s">
        <v>463</v>
      </c>
      <c r="C176" s="2" t="s">
        <v>464</v>
      </c>
      <c r="D176" s="1">
        <v>1924.0</v>
      </c>
      <c r="E176" s="2">
        <v>1929.0</v>
      </c>
      <c r="F176" s="1" t="b">
        <f t="shared" si="14"/>
        <v>0</v>
      </c>
      <c r="G176" s="6">
        <v>44.5990690298434</v>
      </c>
      <c r="H176" s="22">
        <v>-72.7194748314834</v>
      </c>
      <c r="K176" s="2" t="b">
        <v>0</v>
      </c>
      <c r="L176" s="1" t="s">
        <v>465</v>
      </c>
    </row>
    <row r="177">
      <c r="A177" s="1">
        <v>177.0</v>
      </c>
      <c r="B177" s="3" t="s">
        <v>466</v>
      </c>
      <c r="C177" s="2" t="s">
        <v>467</v>
      </c>
      <c r="D177" s="2">
        <v>1966.0</v>
      </c>
      <c r="E177" s="2"/>
      <c r="F177" s="1" t="b">
        <f t="shared" si="14"/>
        <v>1</v>
      </c>
      <c r="G177" s="1">
        <v>43.3015346109238</v>
      </c>
      <c r="H177" s="25">
        <v>-72.9518287584418</v>
      </c>
      <c r="I177" s="3" t="str">
        <f>W3WCONVERTTO3WA(G177,H177)</f>
        <v>#ERROR!</v>
      </c>
      <c r="J177" s="1" t="s">
        <v>255</v>
      </c>
      <c r="K177" s="2" t="b">
        <v>1</v>
      </c>
      <c r="L177" s="1" t="s">
        <v>468</v>
      </c>
    </row>
    <row r="178">
      <c r="A178" s="1">
        <v>178.0</v>
      </c>
      <c r="B178" s="1" t="s">
        <v>469</v>
      </c>
      <c r="C178" s="2" t="s">
        <v>470</v>
      </c>
      <c r="D178" s="2">
        <v>1925.0</v>
      </c>
      <c r="E178" s="2">
        <v>1958.0</v>
      </c>
      <c r="F178" s="1" t="b">
        <f t="shared" si="14"/>
        <v>0</v>
      </c>
      <c r="G178" s="1">
        <v>43.6391374180526</v>
      </c>
      <c r="H178" s="25">
        <v>-72.8305288491359</v>
      </c>
      <c r="J178" s="1" t="s">
        <v>255</v>
      </c>
      <c r="K178" s="2" t="b">
        <v>1</v>
      </c>
    </row>
    <row r="179">
      <c r="A179" s="1">
        <v>179.0</v>
      </c>
      <c r="B179" s="1" t="s">
        <v>471</v>
      </c>
      <c r="C179" s="2" t="s">
        <v>472</v>
      </c>
      <c r="D179" s="1">
        <v>1960.0</v>
      </c>
      <c r="E179" s="2"/>
      <c r="F179" s="1" t="b">
        <f t="shared" si="14"/>
        <v>1</v>
      </c>
      <c r="G179" s="1">
        <v>43.6391374180526</v>
      </c>
      <c r="H179" s="25">
        <v>-72.8305288491359</v>
      </c>
      <c r="I179" s="3" t="str">
        <f>W3WCONVERTTO3WA(G179,H179)</f>
        <v>#ERROR!</v>
      </c>
      <c r="K179" s="2" t="b">
        <v>1</v>
      </c>
    </row>
    <row r="180">
      <c r="A180" s="12">
        <v>180.0</v>
      </c>
      <c r="B180" s="12" t="s">
        <v>473</v>
      </c>
      <c r="C180" s="12" t="s">
        <v>474</v>
      </c>
      <c r="D180" s="14">
        <v>1927.0</v>
      </c>
      <c r="E180" s="14">
        <v>1939.0</v>
      </c>
      <c r="F180" s="1" t="b">
        <f t="shared" si="14"/>
        <v>0</v>
      </c>
      <c r="G180" s="12">
        <v>43.6047061702936</v>
      </c>
      <c r="H180" s="34">
        <v>-72.8218540165711</v>
      </c>
      <c r="I180" s="13"/>
      <c r="J180" s="12" t="s">
        <v>475</v>
      </c>
      <c r="K180" s="14" t="b">
        <v>1</v>
      </c>
      <c r="L180" s="12" t="s">
        <v>476</v>
      </c>
      <c r="M180" s="13"/>
      <c r="N180" s="13"/>
      <c r="O180" s="13"/>
      <c r="P180" s="13"/>
      <c r="Q180" s="13"/>
      <c r="R180" s="13"/>
      <c r="S180" s="13"/>
      <c r="T180" s="13"/>
      <c r="U180" s="13"/>
      <c r="V180" s="13"/>
      <c r="W180" s="13"/>
      <c r="X180" s="13"/>
      <c r="Y180" s="13"/>
      <c r="Z180" s="13"/>
      <c r="AA180" s="13"/>
      <c r="AB180" s="13"/>
      <c r="AC180" s="13"/>
    </row>
    <row r="181">
      <c r="A181" s="12">
        <v>181.0</v>
      </c>
      <c r="B181" s="13" t="s">
        <v>477</v>
      </c>
      <c r="C181" s="14" t="s">
        <v>478</v>
      </c>
      <c r="D181" s="14">
        <v>1954.0</v>
      </c>
      <c r="E181" s="12">
        <v>1975.0</v>
      </c>
      <c r="F181" s="1" t="b">
        <f t="shared" si="14"/>
        <v>0</v>
      </c>
      <c r="G181" s="14">
        <v>44.45401</v>
      </c>
      <c r="H181" s="14">
        <v>-72.83877</v>
      </c>
      <c r="I181" s="13"/>
      <c r="J181" s="12" t="s">
        <v>479</v>
      </c>
      <c r="K181" s="14" t="b">
        <v>1</v>
      </c>
      <c r="L181" s="13"/>
      <c r="M181" s="13"/>
      <c r="N181" s="13"/>
      <c r="O181" s="13"/>
      <c r="P181" s="13"/>
      <c r="Q181" s="13"/>
      <c r="R181" s="13"/>
      <c r="S181" s="13"/>
      <c r="T181" s="13"/>
      <c r="U181" s="13"/>
      <c r="V181" s="13"/>
      <c r="W181" s="13"/>
      <c r="X181" s="13"/>
      <c r="Y181" s="13"/>
      <c r="Z181" s="13"/>
      <c r="AA181" s="13"/>
      <c r="AB181" s="13"/>
      <c r="AC181" s="13"/>
    </row>
    <row r="182">
      <c r="A182" s="1">
        <v>182.0</v>
      </c>
      <c r="B182" s="3" t="s">
        <v>480</v>
      </c>
      <c r="C182" s="2" t="s">
        <v>481</v>
      </c>
      <c r="D182" s="2">
        <v>1975.0</v>
      </c>
      <c r="E182" s="2"/>
      <c r="F182" s="1" t="b">
        <f t="shared" si="14"/>
        <v>1</v>
      </c>
      <c r="G182" s="2">
        <v>44.45401</v>
      </c>
      <c r="H182" s="2">
        <v>-72.83877</v>
      </c>
      <c r="I182" s="3" t="str">
        <f t="shared" ref="I182:I183" si="26">W3WCONVERTTO3WA(G182,H182)</f>
        <v>#ERROR!</v>
      </c>
      <c r="J182" s="1" t="s">
        <v>482</v>
      </c>
      <c r="K182" s="2" t="b">
        <v>1</v>
      </c>
    </row>
    <row r="183" ht="20.25" customHeight="1">
      <c r="A183" s="1">
        <v>183.0</v>
      </c>
      <c r="B183" s="2" t="s">
        <v>483</v>
      </c>
      <c r="C183" s="2" t="s">
        <v>484</v>
      </c>
      <c r="D183" s="2">
        <v>1953.0</v>
      </c>
      <c r="E183" s="2"/>
      <c r="F183" s="1" t="b">
        <f t="shared" si="14"/>
        <v>1</v>
      </c>
      <c r="G183" s="2">
        <v>44.523828</v>
      </c>
      <c r="H183" s="2">
        <v>-72.81032</v>
      </c>
      <c r="I183" s="3" t="str">
        <f t="shared" si="26"/>
        <v>#ERROR!</v>
      </c>
      <c r="J183" s="1" t="s">
        <v>485</v>
      </c>
      <c r="K183" s="2" t="b">
        <v>0</v>
      </c>
      <c r="L183" s="1" t="s">
        <v>486</v>
      </c>
    </row>
    <row r="184" ht="15.75" customHeight="1">
      <c r="A184" s="1">
        <v>184.0</v>
      </c>
      <c r="B184" s="3" t="s">
        <v>487</v>
      </c>
      <c r="C184" s="2" t="s">
        <v>488</v>
      </c>
      <c r="D184" s="2">
        <v>1911.0</v>
      </c>
      <c r="E184" s="2">
        <v>1917.0</v>
      </c>
      <c r="F184" s="1" t="b">
        <f t="shared" si="14"/>
        <v>0</v>
      </c>
      <c r="G184" s="1">
        <v>44.3285222775636</v>
      </c>
      <c r="H184" s="25">
        <v>-72.8838841138987</v>
      </c>
      <c r="J184" s="1" t="s">
        <v>21</v>
      </c>
      <c r="K184" s="2" t="b">
        <v>0</v>
      </c>
      <c r="L184" s="35" t="s">
        <v>489</v>
      </c>
    </row>
    <row r="185">
      <c r="A185" s="1">
        <v>185.0</v>
      </c>
      <c r="B185" s="3" t="s">
        <v>490</v>
      </c>
      <c r="C185" s="2" t="s">
        <v>491</v>
      </c>
      <c r="D185" s="2">
        <v>1933.0</v>
      </c>
      <c r="E185" s="2">
        <v>1999.0</v>
      </c>
      <c r="F185" s="1" t="b">
        <f t="shared" si="14"/>
        <v>0</v>
      </c>
      <c r="G185" s="1">
        <v>44.7456775205961</v>
      </c>
      <c r="H185" s="25">
        <v>-72.6073083323199</v>
      </c>
      <c r="I185" s="3" t="str">
        <f>W3WCONVERTTO3WA(G185,H185)</f>
        <v>#ERROR!</v>
      </c>
      <c r="J185" s="1" t="s">
        <v>30</v>
      </c>
      <c r="K185" s="1" t="b">
        <v>1</v>
      </c>
    </row>
    <row r="186">
      <c r="A186" s="1">
        <v>186.0</v>
      </c>
      <c r="B186" s="3" t="s">
        <v>492</v>
      </c>
      <c r="C186" s="2" t="s">
        <v>493</v>
      </c>
      <c r="D186" s="2">
        <v>1924.0</v>
      </c>
      <c r="E186" s="2">
        <v>1933.0</v>
      </c>
      <c r="F186" s="1" t="b">
        <f t="shared" si="14"/>
        <v>0</v>
      </c>
      <c r="G186" s="1">
        <v>44.7456775205961</v>
      </c>
      <c r="H186" s="25">
        <v>-72.6073083323199</v>
      </c>
      <c r="J186" s="1" t="s">
        <v>485</v>
      </c>
      <c r="K186" s="2" t="b">
        <v>1</v>
      </c>
      <c r="L186" s="1" t="s">
        <v>494</v>
      </c>
    </row>
    <row r="187">
      <c r="A187" s="1">
        <v>187.0</v>
      </c>
      <c r="B187" s="1" t="s">
        <v>495</v>
      </c>
      <c r="C187" s="2" t="s">
        <v>496</v>
      </c>
      <c r="D187" s="2">
        <v>1966.0</v>
      </c>
      <c r="E187" s="2">
        <v>2004.0</v>
      </c>
      <c r="F187" s="1" t="b">
        <f t="shared" si="14"/>
        <v>0</v>
      </c>
      <c r="G187" s="1">
        <v>43.7120109216215</v>
      </c>
      <c r="H187" s="25">
        <v>-72.8579658825797</v>
      </c>
      <c r="J187" s="1" t="s">
        <v>482</v>
      </c>
      <c r="K187" s="1" t="b">
        <v>1</v>
      </c>
      <c r="L187" s="2"/>
    </row>
    <row r="188">
      <c r="A188" s="1">
        <v>188.0</v>
      </c>
      <c r="B188" s="1" t="s">
        <v>497</v>
      </c>
      <c r="C188" s="2" t="s">
        <v>498</v>
      </c>
      <c r="D188" s="2">
        <v>2005.0</v>
      </c>
      <c r="E188" s="2"/>
      <c r="F188" s="1" t="b">
        <f t="shared" si="14"/>
        <v>1</v>
      </c>
      <c r="G188" s="1">
        <v>43.7123146550822</v>
      </c>
      <c r="H188" s="25">
        <v>-72.8669417474112</v>
      </c>
      <c r="I188" s="3" t="str">
        <f t="shared" ref="I188:I189" si="27">W3WCONVERTTO3WA(G188,H188)</f>
        <v>#ERROR!</v>
      </c>
      <c r="J188" s="2" t="s">
        <v>101</v>
      </c>
      <c r="K188" s="2" t="b">
        <v>1</v>
      </c>
      <c r="L188" s="14" t="s">
        <v>409</v>
      </c>
    </row>
    <row r="189">
      <c r="A189" s="12">
        <v>189.0</v>
      </c>
      <c r="B189" s="13" t="s">
        <v>499</v>
      </c>
      <c r="C189" s="14" t="s">
        <v>500</v>
      </c>
      <c r="D189" s="14">
        <v>1994.0</v>
      </c>
      <c r="E189" s="14"/>
      <c r="F189" s="1" t="b">
        <f t="shared" si="14"/>
        <v>1</v>
      </c>
      <c r="G189" s="14">
        <v>44.67251</v>
      </c>
      <c r="H189" s="14">
        <v>-72.72672</v>
      </c>
      <c r="I189" s="13" t="str">
        <f t="shared" si="27"/>
        <v>#ERROR!</v>
      </c>
      <c r="J189" s="14" t="s">
        <v>101</v>
      </c>
      <c r="K189" s="14" t="b">
        <v>1</v>
      </c>
      <c r="L189" s="36" t="s">
        <v>501</v>
      </c>
      <c r="M189" s="13"/>
      <c r="N189" s="13"/>
      <c r="O189" s="13"/>
      <c r="P189" s="17"/>
      <c r="Q189" s="17"/>
      <c r="R189" s="17"/>
      <c r="S189" s="17"/>
      <c r="T189" s="17"/>
      <c r="U189" s="17"/>
      <c r="V189" s="17"/>
      <c r="W189" s="17"/>
      <c r="X189" s="17"/>
      <c r="Y189" s="17"/>
      <c r="Z189" s="17"/>
      <c r="AA189" s="17"/>
      <c r="AB189" s="17"/>
      <c r="AC189" s="17"/>
    </row>
    <row r="190">
      <c r="A190" s="1">
        <v>190.0</v>
      </c>
      <c r="B190" s="1" t="s">
        <v>502</v>
      </c>
      <c r="C190" s="2" t="s">
        <v>503</v>
      </c>
      <c r="D190" s="2">
        <v>1929.0</v>
      </c>
      <c r="E190" s="2">
        <v>1938.0</v>
      </c>
      <c r="F190" s="1" t="b">
        <f t="shared" si="14"/>
        <v>0</v>
      </c>
      <c r="G190" s="1">
        <v>42.7717587749737</v>
      </c>
      <c r="H190" s="1">
        <v>-73.1368322825762</v>
      </c>
      <c r="J190" s="1" t="s">
        <v>485</v>
      </c>
      <c r="K190" s="2" t="b">
        <v>1</v>
      </c>
    </row>
    <row r="191">
      <c r="A191" s="1">
        <v>191.0</v>
      </c>
      <c r="B191" s="1" t="s">
        <v>504</v>
      </c>
      <c r="C191" s="2" t="s">
        <v>505</v>
      </c>
      <c r="D191" s="2">
        <v>1938.0</v>
      </c>
      <c r="E191" s="2">
        <v>1965.0</v>
      </c>
      <c r="F191" s="1" t="b">
        <f t="shared" si="14"/>
        <v>0</v>
      </c>
      <c r="G191" s="1">
        <v>42.7717587749737</v>
      </c>
      <c r="H191" s="1">
        <v>-73.1368322825762</v>
      </c>
      <c r="J191" s="1" t="s">
        <v>485</v>
      </c>
      <c r="K191" s="2" t="b">
        <v>1</v>
      </c>
    </row>
    <row r="192">
      <c r="A192" s="1">
        <v>192.0</v>
      </c>
      <c r="B192" s="1" t="s">
        <v>506</v>
      </c>
      <c r="C192" s="2" t="s">
        <v>507</v>
      </c>
      <c r="D192" s="2">
        <v>1965.0</v>
      </c>
      <c r="E192" s="2">
        <v>1971.0</v>
      </c>
      <c r="F192" s="1" t="b">
        <f t="shared" si="14"/>
        <v>0</v>
      </c>
      <c r="G192" s="1">
        <v>42.7717587749737</v>
      </c>
      <c r="H192" s="1">
        <v>-73.1368322825762</v>
      </c>
      <c r="J192" s="1" t="s">
        <v>508</v>
      </c>
      <c r="K192" s="2" t="b">
        <v>1</v>
      </c>
      <c r="L192" s="1" t="s">
        <v>509</v>
      </c>
    </row>
    <row r="193">
      <c r="A193" s="1">
        <v>193.0</v>
      </c>
      <c r="B193" s="1" t="s">
        <v>510</v>
      </c>
      <c r="C193" s="2" t="s">
        <v>511</v>
      </c>
      <c r="D193" s="2">
        <v>1972.0</v>
      </c>
      <c r="E193" s="2">
        <v>2023.0</v>
      </c>
      <c r="F193" s="1" t="b">
        <f t="shared" si="14"/>
        <v>0</v>
      </c>
      <c r="G193" s="2">
        <v>42.772033</v>
      </c>
      <c r="H193" s="2">
        <v>-73.136923</v>
      </c>
      <c r="I193" s="2" t="s">
        <v>512</v>
      </c>
      <c r="J193" s="2"/>
      <c r="K193" s="2" t="b">
        <v>1</v>
      </c>
      <c r="L193" s="2"/>
      <c r="M193" s="2">
        <v>2.8</v>
      </c>
    </row>
    <row r="194">
      <c r="A194" s="12">
        <v>194.0</v>
      </c>
      <c r="B194" s="12" t="s">
        <v>513</v>
      </c>
      <c r="C194" s="14" t="s">
        <v>514</v>
      </c>
      <c r="D194" s="14">
        <v>2023.0</v>
      </c>
      <c r="E194" s="14"/>
      <c r="F194" s="1" t="b">
        <f t="shared" si="14"/>
        <v>1</v>
      </c>
      <c r="G194" s="12">
        <v>42.7992458185366</v>
      </c>
      <c r="H194" s="29">
        <v>-73.1183645578925</v>
      </c>
      <c r="I194" s="13" t="str">
        <f>W3WCONVERTTO3WA(G194,H194)</f>
        <v>#ERROR!</v>
      </c>
      <c r="J194" s="14" t="s">
        <v>101</v>
      </c>
      <c r="K194" s="14" t="b">
        <v>1</v>
      </c>
      <c r="L194" s="14"/>
      <c r="M194" s="14">
        <v>5.4</v>
      </c>
      <c r="N194" s="13"/>
      <c r="O194" s="13"/>
      <c r="P194" s="13"/>
      <c r="Q194" s="13"/>
      <c r="R194" s="13"/>
      <c r="S194" s="13"/>
      <c r="T194" s="13"/>
      <c r="U194" s="13"/>
      <c r="V194" s="13"/>
      <c r="W194" s="13"/>
      <c r="X194" s="13"/>
      <c r="Y194" s="13"/>
      <c r="Z194" s="13"/>
      <c r="AA194" s="13"/>
      <c r="AB194" s="13"/>
      <c r="AC194" s="13"/>
    </row>
    <row r="195">
      <c r="A195" s="1">
        <v>195.0</v>
      </c>
      <c r="B195" s="3" t="s">
        <v>515</v>
      </c>
      <c r="C195" s="2" t="s">
        <v>516</v>
      </c>
      <c r="D195" s="2">
        <v>1913.0</v>
      </c>
      <c r="E195" s="2">
        <v>1946.0</v>
      </c>
      <c r="F195" s="1" t="b">
        <f t="shared" si="14"/>
        <v>0</v>
      </c>
      <c r="G195" s="1">
        <v>44.567241399082</v>
      </c>
      <c r="H195" s="25">
        <v>-72.7431775032172</v>
      </c>
      <c r="J195" s="1" t="s">
        <v>517</v>
      </c>
      <c r="K195" s="2" t="b">
        <v>1</v>
      </c>
    </row>
    <row r="196">
      <c r="A196" s="1">
        <v>196.0</v>
      </c>
      <c r="B196" s="1" t="s">
        <v>518</v>
      </c>
      <c r="C196" s="2" t="s">
        <v>519</v>
      </c>
      <c r="D196" s="2">
        <v>1934.0</v>
      </c>
      <c r="E196" s="2">
        <v>2001.0</v>
      </c>
      <c r="F196" s="1" t="b">
        <f t="shared" si="14"/>
        <v>0</v>
      </c>
      <c r="G196" s="2">
        <v>44.96961</v>
      </c>
      <c r="H196" s="2">
        <v>-72.51167</v>
      </c>
      <c r="J196" s="1" t="s">
        <v>520</v>
      </c>
      <c r="K196" s="2" t="b">
        <v>1</v>
      </c>
    </row>
    <row r="197">
      <c r="A197" s="12">
        <v>197.0</v>
      </c>
      <c r="B197" s="12" t="s">
        <v>521</v>
      </c>
      <c r="C197" s="14" t="s">
        <v>522</v>
      </c>
      <c r="D197" s="14">
        <v>2002.0</v>
      </c>
      <c r="E197" s="14"/>
      <c r="F197" s="1" t="b">
        <f t="shared" si="14"/>
        <v>1</v>
      </c>
      <c r="G197" s="14">
        <v>44.96961</v>
      </c>
      <c r="H197" s="14">
        <v>-72.51167</v>
      </c>
      <c r="I197" s="13" t="str">
        <f>W3WCONVERTTO3WA(G197,H197)</f>
        <v>#ERROR!</v>
      </c>
      <c r="J197" s="14" t="s">
        <v>101</v>
      </c>
      <c r="K197" s="14" t="b">
        <v>1</v>
      </c>
      <c r="L197" s="12" t="s">
        <v>523</v>
      </c>
      <c r="M197" s="13"/>
      <c r="N197" s="13"/>
      <c r="O197" s="13"/>
      <c r="P197" s="13"/>
      <c r="Q197" s="13"/>
      <c r="R197" s="13"/>
      <c r="S197" s="13"/>
      <c r="T197" s="13"/>
      <c r="U197" s="13"/>
      <c r="V197" s="13"/>
      <c r="W197" s="13"/>
      <c r="X197" s="13"/>
      <c r="Y197" s="13"/>
      <c r="Z197" s="13"/>
      <c r="AA197" s="13"/>
      <c r="AB197" s="13"/>
      <c r="AC197" s="13"/>
    </row>
    <row r="198">
      <c r="A198" s="1">
        <v>198.0</v>
      </c>
      <c r="B198" s="1" t="s">
        <v>524</v>
      </c>
      <c r="C198" s="2" t="s">
        <v>525</v>
      </c>
      <c r="D198" s="2">
        <v>1954.0</v>
      </c>
      <c r="E198" s="2">
        <v>1986.0</v>
      </c>
      <c r="F198" s="1" t="b">
        <f t="shared" si="14"/>
        <v>0</v>
      </c>
      <c r="G198" s="2">
        <v>43.98696</v>
      </c>
      <c r="H198" s="2">
        <v>-72.93632</v>
      </c>
      <c r="J198" s="1" t="s">
        <v>33</v>
      </c>
      <c r="K198" s="2" t="b">
        <v>1</v>
      </c>
      <c r="L198" s="1" t="s">
        <v>526</v>
      </c>
    </row>
    <row r="199" ht="16.5" customHeight="1">
      <c r="A199" s="1">
        <v>199.0</v>
      </c>
      <c r="B199" s="1" t="s">
        <v>527</v>
      </c>
      <c r="C199" s="2" t="s">
        <v>528</v>
      </c>
      <c r="D199" s="2">
        <v>1987.0</v>
      </c>
      <c r="E199" s="2"/>
      <c r="F199" s="1" t="b">
        <f t="shared" si="14"/>
        <v>1</v>
      </c>
      <c r="G199" s="2">
        <v>43.98696</v>
      </c>
      <c r="H199" s="2">
        <v>-72.93632</v>
      </c>
      <c r="I199" s="3" t="str">
        <f>W3WCONVERTTO3WA(G199,H199)</f>
        <v>#ERROR!</v>
      </c>
      <c r="J199" s="2" t="s">
        <v>33</v>
      </c>
      <c r="K199" s="2" t="b">
        <v>1</v>
      </c>
      <c r="L199" s="1" t="s">
        <v>529</v>
      </c>
    </row>
    <row r="200">
      <c r="A200" s="12">
        <v>200.0</v>
      </c>
      <c r="B200" s="13" t="s">
        <v>530</v>
      </c>
      <c r="C200" s="14" t="s">
        <v>531</v>
      </c>
      <c r="D200" s="14">
        <v>1949.0</v>
      </c>
      <c r="E200" s="14">
        <v>1954.0</v>
      </c>
      <c r="F200" s="1" t="b">
        <f t="shared" si="14"/>
        <v>0</v>
      </c>
      <c r="G200" s="12">
        <v>43.4988959182959</v>
      </c>
      <c r="H200" s="12">
        <v>-72.9208033822352</v>
      </c>
      <c r="I200" s="13"/>
      <c r="J200" s="12" t="s">
        <v>485</v>
      </c>
      <c r="K200" s="14" t="b">
        <v>1</v>
      </c>
      <c r="L200" s="12" t="s">
        <v>532</v>
      </c>
      <c r="M200" s="13"/>
      <c r="N200" s="13"/>
      <c r="O200" s="13"/>
      <c r="P200" s="13"/>
      <c r="Q200" s="13"/>
      <c r="R200" s="13"/>
      <c r="S200" s="13"/>
      <c r="T200" s="13"/>
      <c r="U200" s="13"/>
      <c r="V200" s="13"/>
      <c r="W200" s="13"/>
      <c r="X200" s="13"/>
      <c r="Y200" s="13"/>
      <c r="Z200" s="13"/>
      <c r="AA200" s="13"/>
      <c r="AB200" s="13"/>
      <c r="AC200" s="13"/>
    </row>
    <row r="201">
      <c r="A201" s="1">
        <v>201.0</v>
      </c>
      <c r="B201" s="3" t="s">
        <v>533</v>
      </c>
      <c r="C201" s="2" t="s">
        <v>534</v>
      </c>
      <c r="D201" s="2">
        <v>1999.0</v>
      </c>
      <c r="E201" s="2"/>
      <c r="F201" s="1" t="b">
        <f t="shared" si="14"/>
        <v>1</v>
      </c>
      <c r="G201" s="2">
        <v>44.7445097</v>
      </c>
      <c r="H201" s="2">
        <v>-72.6091377</v>
      </c>
      <c r="I201" s="3" t="str">
        <f t="shared" ref="I201:I203" si="28">W3WCONVERTTO3WA(G201,H201)</f>
        <v>#ERROR!</v>
      </c>
      <c r="J201" s="2" t="s">
        <v>236</v>
      </c>
      <c r="K201" s="2" t="b">
        <v>1</v>
      </c>
    </row>
    <row r="202">
      <c r="A202" s="1">
        <v>202.0</v>
      </c>
      <c r="B202" s="3" t="s">
        <v>535</v>
      </c>
      <c r="C202" s="2" t="s">
        <v>536</v>
      </c>
      <c r="D202" s="2">
        <v>1983.0</v>
      </c>
      <c r="E202" s="2"/>
      <c r="F202" s="1" t="b">
        <f t="shared" si="14"/>
        <v>1</v>
      </c>
      <c r="G202" s="2">
        <v>43.17858</v>
      </c>
      <c r="H202" s="2">
        <v>-72.99512</v>
      </c>
      <c r="I202" s="3" t="str">
        <f t="shared" si="28"/>
        <v>#ERROR!</v>
      </c>
      <c r="J202" s="1" t="s">
        <v>258</v>
      </c>
      <c r="K202" s="2" t="b">
        <v>1</v>
      </c>
    </row>
    <row r="203">
      <c r="A203" s="1">
        <v>203.0</v>
      </c>
      <c r="B203" s="3" t="s">
        <v>537</v>
      </c>
      <c r="C203" s="2" t="s">
        <v>538</v>
      </c>
      <c r="D203" s="2">
        <v>1985.0</v>
      </c>
      <c r="E203" s="2"/>
      <c r="F203" s="1" t="b">
        <f t="shared" si="14"/>
        <v>1</v>
      </c>
      <c r="G203" s="2">
        <v>44.19171</v>
      </c>
      <c r="H203" s="2">
        <v>-72.93101</v>
      </c>
      <c r="I203" s="3" t="str">
        <f t="shared" si="28"/>
        <v>#ERROR!</v>
      </c>
      <c r="J203" s="1" t="s">
        <v>539</v>
      </c>
      <c r="K203" s="2" t="b">
        <v>0</v>
      </c>
    </row>
    <row r="204">
      <c r="A204" s="1">
        <v>204.0</v>
      </c>
      <c r="B204" s="3" t="s">
        <v>540</v>
      </c>
      <c r="C204" s="2" t="s">
        <v>541</v>
      </c>
      <c r="D204" s="2">
        <v>1964.0</v>
      </c>
      <c r="E204" s="2">
        <v>1970.0</v>
      </c>
      <c r="F204" s="1" t="b">
        <f t="shared" si="14"/>
        <v>0</v>
      </c>
      <c r="G204" s="1">
        <v>44.502103086113</v>
      </c>
      <c r="H204" s="1">
        <v>-72.7864559078005</v>
      </c>
      <c r="J204" s="1" t="s">
        <v>539</v>
      </c>
      <c r="K204" s="2" t="b">
        <v>0</v>
      </c>
    </row>
    <row r="205">
      <c r="A205" s="1">
        <v>205.0</v>
      </c>
      <c r="B205" s="1" t="s">
        <v>542</v>
      </c>
      <c r="C205" s="2" t="s">
        <v>543</v>
      </c>
      <c r="D205" s="2">
        <v>1926.0</v>
      </c>
      <c r="E205" s="2">
        <v>1950.0</v>
      </c>
      <c r="F205" s="1" t="b">
        <f t="shared" si="14"/>
        <v>0</v>
      </c>
      <c r="G205" s="1">
        <v>44.5569230954711</v>
      </c>
      <c r="H205" s="1">
        <v>-72.7728592876377</v>
      </c>
      <c r="J205" s="1" t="s">
        <v>33</v>
      </c>
      <c r="K205" s="2" t="b">
        <v>1</v>
      </c>
    </row>
    <row r="206">
      <c r="A206" s="1">
        <v>206.0</v>
      </c>
      <c r="B206" s="1" t="s">
        <v>544</v>
      </c>
      <c r="C206" s="2" t="s">
        <v>545</v>
      </c>
      <c r="D206" s="2">
        <v>1950.0</v>
      </c>
      <c r="E206" s="2">
        <v>1971.0</v>
      </c>
      <c r="F206" s="1" t="b">
        <f t="shared" si="14"/>
        <v>0</v>
      </c>
      <c r="G206" s="1">
        <v>44.5569230954711</v>
      </c>
      <c r="H206" s="1">
        <v>-72.7728592876377</v>
      </c>
      <c r="J206" s="1" t="s">
        <v>30</v>
      </c>
      <c r="K206" s="2" t="b">
        <v>1</v>
      </c>
    </row>
    <row r="207">
      <c r="A207" s="1">
        <v>207.0</v>
      </c>
      <c r="B207" s="1" t="s">
        <v>546</v>
      </c>
      <c r="C207" s="2" t="s">
        <v>547</v>
      </c>
      <c r="D207" s="2">
        <v>1972.0</v>
      </c>
      <c r="E207" s="2">
        <v>2004.0</v>
      </c>
      <c r="F207" s="1" t="b">
        <f t="shared" si="14"/>
        <v>0</v>
      </c>
      <c r="G207" s="1">
        <v>44.5569230954711</v>
      </c>
      <c r="H207" s="1">
        <v>-72.7728592876377</v>
      </c>
      <c r="J207" s="1" t="s">
        <v>548</v>
      </c>
      <c r="K207" s="2" t="b">
        <v>1</v>
      </c>
      <c r="L207" s="1" t="s">
        <v>549</v>
      </c>
    </row>
    <row r="208">
      <c r="A208" s="1">
        <v>208.0</v>
      </c>
      <c r="B208" s="1" t="s">
        <v>550</v>
      </c>
      <c r="C208" s="2" t="s">
        <v>551</v>
      </c>
      <c r="D208" s="2">
        <v>2005.0</v>
      </c>
      <c r="E208" s="2"/>
      <c r="F208" s="1" t="b">
        <f t="shared" si="14"/>
        <v>1</v>
      </c>
      <c r="G208" s="2">
        <v>44.55696</v>
      </c>
      <c r="H208" s="2">
        <v>-72.77288</v>
      </c>
      <c r="I208" s="2" t="s">
        <v>552</v>
      </c>
      <c r="J208" s="1" t="s">
        <v>553</v>
      </c>
      <c r="K208" s="2" t="b">
        <v>1</v>
      </c>
      <c r="L208" s="1" t="s">
        <v>549</v>
      </c>
    </row>
    <row r="209">
      <c r="A209" s="1">
        <v>209.0</v>
      </c>
      <c r="B209" s="3" t="s">
        <v>554</v>
      </c>
      <c r="C209" s="2" t="s">
        <v>555</v>
      </c>
      <c r="D209" s="2">
        <v>1933.0</v>
      </c>
      <c r="E209" s="2"/>
      <c r="F209" s="1" t="b">
        <f t="shared" si="14"/>
        <v>1</v>
      </c>
      <c r="G209" s="2">
        <v>44.5238</v>
      </c>
      <c r="H209" s="2">
        <v>-72.80845</v>
      </c>
      <c r="I209" s="2" t="s">
        <v>552</v>
      </c>
      <c r="K209" s="2" t="b">
        <v>0</v>
      </c>
      <c r="L209" s="1" t="s">
        <v>556</v>
      </c>
    </row>
    <row r="210">
      <c r="A210" s="12">
        <v>210.0</v>
      </c>
      <c r="B210" s="12" t="s">
        <v>557</v>
      </c>
      <c r="C210" s="14" t="s">
        <v>558</v>
      </c>
      <c r="D210" s="14">
        <v>1958.0</v>
      </c>
      <c r="E210" s="14">
        <v>1996.0</v>
      </c>
      <c r="F210" s="1" t="b">
        <f t="shared" si="14"/>
        <v>0</v>
      </c>
      <c r="G210" s="12">
        <v>43.691775305402</v>
      </c>
      <c r="H210" s="12">
        <v>-72.7171610266527</v>
      </c>
      <c r="I210" s="13"/>
      <c r="J210" s="13"/>
      <c r="K210" s="14" t="b">
        <v>1</v>
      </c>
      <c r="L210" s="13"/>
      <c r="M210" s="13"/>
      <c r="N210" s="13"/>
      <c r="O210" s="13"/>
      <c r="P210" s="13"/>
      <c r="Q210" s="13"/>
      <c r="R210" s="13"/>
      <c r="S210" s="13"/>
      <c r="T210" s="13"/>
      <c r="U210" s="13"/>
      <c r="V210" s="13"/>
      <c r="W210" s="13"/>
      <c r="X210" s="13"/>
      <c r="Y210" s="13"/>
      <c r="Z210" s="13"/>
      <c r="AA210" s="13"/>
      <c r="AB210" s="13"/>
      <c r="AC210" s="13"/>
    </row>
    <row r="211">
      <c r="A211" s="1">
        <v>211.0</v>
      </c>
      <c r="B211" s="1" t="s">
        <v>559</v>
      </c>
      <c r="C211" s="2" t="s">
        <v>560</v>
      </c>
      <c r="D211" s="2">
        <v>1997.0</v>
      </c>
      <c r="E211" s="2"/>
      <c r="F211" s="1" t="b">
        <f t="shared" si="14"/>
        <v>1</v>
      </c>
      <c r="G211" s="2">
        <v>43.69169</v>
      </c>
      <c r="H211" s="2">
        <v>-72.7301</v>
      </c>
      <c r="I211" s="2" t="s">
        <v>552</v>
      </c>
      <c r="J211" s="1" t="s">
        <v>561</v>
      </c>
      <c r="K211" s="2" t="b">
        <v>1</v>
      </c>
    </row>
    <row r="212">
      <c r="A212" s="12">
        <v>212.0</v>
      </c>
      <c r="B212" s="13" t="s">
        <v>562</v>
      </c>
      <c r="C212" s="14" t="s">
        <v>563</v>
      </c>
      <c r="D212" s="14">
        <v>1963.0</v>
      </c>
      <c r="E212" s="14"/>
      <c r="F212" s="1" t="b">
        <f t="shared" si="14"/>
        <v>1</v>
      </c>
      <c r="G212" s="12">
        <v>43.0532524724162</v>
      </c>
      <c r="H212" s="12">
        <v>-73.0101439289885</v>
      </c>
      <c r="I212" s="14" t="s">
        <v>552</v>
      </c>
      <c r="J212" s="13"/>
      <c r="K212" s="14" t="b">
        <v>1</v>
      </c>
      <c r="L212" s="13"/>
      <c r="M212" s="13"/>
      <c r="N212" s="13"/>
      <c r="O212" s="13"/>
      <c r="P212" s="13"/>
      <c r="Q212" s="13"/>
      <c r="R212" s="13"/>
      <c r="S212" s="13"/>
      <c r="T212" s="13"/>
      <c r="U212" s="13"/>
      <c r="V212" s="13"/>
      <c r="W212" s="13"/>
      <c r="X212" s="13"/>
      <c r="Y212" s="13"/>
      <c r="Z212" s="13"/>
      <c r="AA212" s="13"/>
      <c r="AB212" s="13"/>
      <c r="AC212" s="13"/>
    </row>
    <row r="213">
      <c r="A213" s="12">
        <v>213.0</v>
      </c>
      <c r="B213" s="12" t="s">
        <v>564</v>
      </c>
      <c r="C213" s="14" t="s">
        <v>565</v>
      </c>
      <c r="D213" s="14">
        <v>1917.0</v>
      </c>
      <c r="E213" s="14">
        <v>1934.0</v>
      </c>
      <c r="F213" s="1" t="b">
        <f t="shared" si="14"/>
        <v>0</v>
      </c>
      <c r="G213" s="12">
        <v>43.0835820648982</v>
      </c>
      <c r="H213" s="12">
        <v>-72.9267300130126</v>
      </c>
      <c r="I213" s="13"/>
      <c r="J213" s="12" t="s">
        <v>33</v>
      </c>
      <c r="K213" s="14" t="b">
        <v>1</v>
      </c>
      <c r="L213" s="12" t="s">
        <v>566</v>
      </c>
      <c r="M213" s="13"/>
      <c r="N213" s="13"/>
      <c r="O213" s="13"/>
      <c r="P213" s="13"/>
      <c r="Q213" s="13"/>
      <c r="R213" s="13"/>
      <c r="S213" s="13"/>
      <c r="T213" s="13"/>
      <c r="U213" s="13"/>
      <c r="V213" s="13"/>
      <c r="W213" s="13"/>
      <c r="X213" s="13"/>
      <c r="Y213" s="13"/>
      <c r="Z213" s="13"/>
      <c r="AA213" s="13"/>
      <c r="AB213" s="13"/>
      <c r="AC213" s="13"/>
    </row>
    <row r="214">
      <c r="A214" s="1">
        <v>214.0</v>
      </c>
      <c r="B214" s="1" t="s">
        <v>567</v>
      </c>
      <c r="C214" s="2" t="s">
        <v>568</v>
      </c>
      <c r="D214" s="2">
        <v>1928.0</v>
      </c>
      <c r="E214" s="2"/>
      <c r="F214" s="1" t="b">
        <f t="shared" si="14"/>
        <v>1</v>
      </c>
      <c r="G214" s="1">
        <v>43.0859280754561</v>
      </c>
      <c r="H214" s="1">
        <v>-72.9248266840715</v>
      </c>
      <c r="J214" s="1" t="s">
        <v>485</v>
      </c>
      <c r="K214" s="2" t="b">
        <v>1</v>
      </c>
    </row>
    <row r="215">
      <c r="A215" s="1">
        <v>215.0</v>
      </c>
      <c r="B215" s="1" t="s">
        <v>569</v>
      </c>
      <c r="C215" s="2" t="s">
        <v>570</v>
      </c>
      <c r="D215" s="2">
        <v>1970.0</v>
      </c>
      <c r="E215" s="2">
        <v>1995.0</v>
      </c>
      <c r="F215" s="1" t="b">
        <f t="shared" si="14"/>
        <v>0</v>
      </c>
      <c r="G215" s="1">
        <v>43.0859503888583</v>
      </c>
      <c r="H215" s="1">
        <v>-72.9248475949005</v>
      </c>
      <c r="J215" s="1" t="s">
        <v>485</v>
      </c>
      <c r="K215" s="2" t="b">
        <v>1</v>
      </c>
    </row>
    <row r="216">
      <c r="A216" s="1">
        <v>216.0</v>
      </c>
      <c r="B216" s="3" t="s">
        <v>571</v>
      </c>
      <c r="C216" s="2" t="s">
        <v>572</v>
      </c>
      <c r="D216" s="2">
        <v>1999.0</v>
      </c>
      <c r="E216" s="2"/>
      <c r="F216" s="1" t="b">
        <f t="shared" si="14"/>
        <v>1</v>
      </c>
      <c r="G216" s="1">
        <v>43.1005384470146</v>
      </c>
      <c r="H216" s="1">
        <v>-72.9641002372394</v>
      </c>
      <c r="I216" s="3" t="str">
        <f t="shared" ref="I216:I219" si="29">W3WCONVERTTO3WA(G216,H216)</f>
        <v>#ERROR!</v>
      </c>
      <c r="J216" s="2" t="s">
        <v>101</v>
      </c>
      <c r="K216" s="2" t="b">
        <v>1</v>
      </c>
    </row>
    <row r="217">
      <c r="A217" s="1">
        <v>217.0</v>
      </c>
      <c r="B217" s="3" t="s">
        <v>573</v>
      </c>
      <c r="C217" s="2" t="s">
        <v>574</v>
      </c>
      <c r="D217" s="2">
        <v>1985.0</v>
      </c>
      <c r="E217" s="2">
        <v>2023.0</v>
      </c>
      <c r="F217" s="1" t="b">
        <f t="shared" si="14"/>
        <v>0</v>
      </c>
      <c r="G217" s="2">
        <v>43.108674</v>
      </c>
      <c r="H217" s="2">
        <v>-72.972377</v>
      </c>
      <c r="I217" s="3" t="str">
        <f t="shared" si="29"/>
        <v>#ERROR!</v>
      </c>
      <c r="K217" s="2" t="b">
        <v>1</v>
      </c>
    </row>
    <row r="218">
      <c r="A218" s="1">
        <v>218.0</v>
      </c>
      <c r="B218" s="1" t="s">
        <v>575</v>
      </c>
      <c r="C218" s="2" t="s">
        <v>576</v>
      </c>
      <c r="D218" s="2">
        <v>1937.0</v>
      </c>
      <c r="E218" s="2">
        <v>1985.0</v>
      </c>
      <c r="F218" s="1" t="b">
        <f t="shared" si="14"/>
        <v>0</v>
      </c>
      <c r="G218" s="1">
        <v>43.1063730979342</v>
      </c>
      <c r="H218" s="1">
        <v>-72.9719839917062</v>
      </c>
      <c r="I218" s="3" t="str">
        <f t="shared" si="29"/>
        <v>#ERROR!</v>
      </c>
      <c r="J218" s="1" t="s">
        <v>520</v>
      </c>
      <c r="K218" s="2" t="b">
        <v>1</v>
      </c>
    </row>
    <row r="219">
      <c r="A219" s="1">
        <v>219.0</v>
      </c>
      <c r="B219" s="1" t="s">
        <v>577</v>
      </c>
      <c r="C219" s="2" t="s">
        <v>578</v>
      </c>
      <c r="D219" s="2">
        <v>2023.0</v>
      </c>
      <c r="E219" s="2"/>
      <c r="F219" s="1" t="b">
        <f t="shared" si="14"/>
        <v>1</v>
      </c>
      <c r="G219" s="1">
        <v>43.1063730979342</v>
      </c>
      <c r="H219" s="1">
        <v>-72.9719839917062</v>
      </c>
      <c r="I219" s="3" t="str">
        <f t="shared" si="29"/>
        <v>#ERROR!</v>
      </c>
      <c r="J219" s="2" t="s">
        <v>101</v>
      </c>
      <c r="K219" s="2" t="b">
        <v>1</v>
      </c>
      <c r="AB219" s="2" t="s">
        <v>579</v>
      </c>
    </row>
    <row r="220">
      <c r="A220" s="12">
        <v>220.0</v>
      </c>
      <c r="B220" s="13" t="s">
        <v>580</v>
      </c>
      <c r="C220" s="14" t="s">
        <v>581</v>
      </c>
      <c r="D220" s="14">
        <v>1921.0</v>
      </c>
      <c r="E220" s="14">
        <v>1962.0</v>
      </c>
      <c r="F220" s="1" t="b">
        <f t="shared" si="14"/>
        <v>0</v>
      </c>
      <c r="G220" s="14">
        <v>43.89336</v>
      </c>
      <c r="H220" s="14">
        <v>-72.97014</v>
      </c>
      <c r="I220" s="13"/>
      <c r="J220" s="12" t="s">
        <v>520</v>
      </c>
      <c r="K220" s="14" t="b">
        <v>1</v>
      </c>
      <c r="L220" s="13"/>
      <c r="M220" s="13"/>
      <c r="N220" s="13"/>
      <c r="O220" s="13"/>
      <c r="P220" s="13"/>
      <c r="Q220" s="13"/>
      <c r="R220" s="13"/>
      <c r="S220" s="13"/>
      <c r="T220" s="13"/>
      <c r="U220" s="13"/>
      <c r="V220" s="13"/>
      <c r="W220" s="13"/>
      <c r="X220" s="13"/>
      <c r="Y220" s="13"/>
      <c r="Z220" s="13"/>
      <c r="AA220" s="13"/>
      <c r="AB220" s="13"/>
      <c r="AC220" s="13"/>
    </row>
    <row r="221">
      <c r="A221" s="1">
        <v>221.0</v>
      </c>
      <c r="B221" s="3" t="s">
        <v>582</v>
      </c>
      <c r="C221" s="2" t="s">
        <v>583</v>
      </c>
      <c r="D221" s="2">
        <v>1963.0</v>
      </c>
      <c r="E221" s="2"/>
      <c r="F221" s="1" t="b">
        <f t="shared" si="14"/>
        <v>1</v>
      </c>
      <c r="G221" s="2">
        <v>43.89336</v>
      </c>
      <c r="H221" s="2">
        <v>-72.97014</v>
      </c>
      <c r="I221" s="3" t="str">
        <f>W3WCONVERTTO3WA(G221,H221)</f>
        <v>#ERROR!</v>
      </c>
      <c r="J221" s="1" t="s">
        <v>553</v>
      </c>
      <c r="K221" s="2" t="b">
        <v>1</v>
      </c>
    </row>
    <row r="222">
      <c r="A222" s="12">
        <v>222.0</v>
      </c>
      <c r="B222" s="12" t="s">
        <v>584</v>
      </c>
      <c r="C222" s="14" t="s">
        <v>585</v>
      </c>
      <c r="D222" s="14">
        <v>1955.0</v>
      </c>
      <c r="E222" s="14">
        <v>1968.0</v>
      </c>
      <c r="F222" s="1" t="b">
        <f t="shared" si="14"/>
        <v>0</v>
      </c>
      <c r="G222" s="14">
        <v>43.48769</v>
      </c>
      <c r="H222" s="14">
        <v>-72.92452</v>
      </c>
      <c r="I222" s="13"/>
      <c r="J222" s="12" t="s">
        <v>586</v>
      </c>
      <c r="K222" s="14" t="b">
        <v>1</v>
      </c>
      <c r="L222" s="13"/>
      <c r="M222" s="13"/>
      <c r="N222" s="13"/>
      <c r="O222" s="13"/>
      <c r="P222" s="13"/>
      <c r="Q222" s="13"/>
      <c r="R222" s="13"/>
      <c r="S222" s="13"/>
      <c r="T222" s="13"/>
      <c r="U222" s="13"/>
      <c r="V222" s="13"/>
      <c r="W222" s="13"/>
      <c r="X222" s="13"/>
      <c r="Y222" s="13"/>
      <c r="Z222" s="13"/>
      <c r="AA222" s="13"/>
      <c r="AB222" s="13"/>
      <c r="AC222" s="13"/>
    </row>
    <row r="223">
      <c r="A223" s="12">
        <v>223.0</v>
      </c>
      <c r="B223" s="12" t="s">
        <v>587</v>
      </c>
      <c r="C223" s="14" t="s">
        <v>588</v>
      </c>
      <c r="D223" s="14">
        <v>1969.0</v>
      </c>
      <c r="E223" s="14">
        <v>1979.0</v>
      </c>
      <c r="F223" s="1" t="b">
        <f t="shared" si="14"/>
        <v>0</v>
      </c>
      <c r="G223" s="14">
        <v>43.48769</v>
      </c>
      <c r="H223" s="14">
        <v>-72.92452</v>
      </c>
      <c r="I223" s="13"/>
      <c r="J223" s="13"/>
      <c r="K223" s="14" t="b">
        <v>1</v>
      </c>
      <c r="L223" s="13"/>
      <c r="M223" s="13"/>
      <c r="N223" s="13"/>
      <c r="O223" s="13"/>
      <c r="P223" s="13"/>
      <c r="Q223" s="13"/>
      <c r="R223" s="13"/>
      <c r="S223" s="13"/>
      <c r="T223" s="13"/>
      <c r="U223" s="13"/>
      <c r="V223" s="13"/>
      <c r="W223" s="13"/>
      <c r="X223" s="13"/>
      <c r="Y223" s="13"/>
      <c r="Z223" s="13"/>
      <c r="AA223" s="13"/>
      <c r="AB223" s="13"/>
      <c r="AC223" s="13"/>
    </row>
    <row r="224">
      <c r="A224" s="1">
        <v>224.0</v>
      </c>
      <c r="B224" s="3" t="s">
        <v>589</v>
      </c>
      <c r="C224" s="2" t="s">
        <v>590</v>
      </c>
      <c r="D224" s="2">
        <v>1925.0</v>
      </c>
      <c r="E224" s="1">
        <v>1951.0</v>
      </c>
      <c r="F224" s="1" t="b">
        <f t="shared" si="14"/>
        <v>0</v>
      </c>
      <c r="K224" s="2" t="b">
        <v>1</v>
      </c>
      <c r="L224" s="1" t="s">
        <v>591</v>
      </c>
    </row>
    <row r="225">
      <c r="A225" s="1">
        <v>225.0</v>
      </c>
      <c r="B225" s="1" t="s">
        <v>592</v>
      </c>
      <c r="C225" s="2" t="s">
        <v>593</v>
      </c>
      <c r="D225" s="2">
        <v>1925.0</v>
      </c>
      <c r="E225" s="1">
        <v>1971.0</v>
      </c>
      <c r="F225" s="1" t="b">
        <f t="shared" si="14"/>
        <v>0</v>
      </c>
      <c r="G225" s="25">
        <v>43.8362212869418</v>
      </c>
      <c r="H225" s="4">
        <v>-72.9580388628346</v>
      </c>
      <c r="J225" s="1" t="s">
        <v>520</v>
      </c>
      <c r="K225" s="2" t="b">
        <v>1</v>
      </c>
      <c r="L225" s="1" t="s">
        <v>594</v>
      </c>
    </row>
    <row r="226">
      <c r="A226" s="1">
        <v>226.0</v>
      </c>
      <c r="B226" s="1" t="s">
        <v>595</v>
      </c>
      <c r="C226" s="2" t="s">
        <v>596</v>
      </c>
      <c r="D226" s="2">
        <v>1964.0</v>
      </c>
      <c r="E226" s="2">
        <v>2023.0</v>
      </c>
      <c r="F226" s="1" t="b">
        <f t="shared" si="14"/>
        <v>0</v>
      </c>
      <c r="G226" s="2">
        <v>43.49229</v>
      </c>
      <c r="H226" s="2">
        <v>-72.92566</v>
      </c>
      <c r="I226" s="3" t="str">
        <f t="shared" ref="I226:I228" si="30">W3WCONVERTTO3WA(G226,H226)</f>
        <v>#ERROR!</v>
      </c>
      <c r="J226" s="1" t="s">
        <v>280</v>
      </c>
      <c r="K226" s="2" t="b">
        <v>1</v>
      </c>
    </row>
    <row r="227">
      <c r="A227" s="1">
        <v>227.0</v>
      </c>
      <c r="B227" s="1" t="s">
        <v>597</v>
      </c>
      <c r="C227" s="2" t="s">
        <v>598</v>
      </c>
      <c r="D227" s="2">
        <v>2023.0</v>
      </c>
      <c r="E227" s="2"/>
      <c r="F227" s="1" t="b">
        <f t="shared" si="14"/>
        <v>1</v>
      </c>
      <c r="G227" s="2">
        <v>43.82246</v>
      </c>
      <c r="H227" s="37">
        <v>-72.9453</v>
      </c>
      <c r="I227" s="3" t="str">
        <f t="shared" si="30"/>
        <v>#ERROR!</v>
      </c>
      <c r="J227" s="2" t="s">
        <v>101</v>
      </c>
      <c r="K227" s="2" t="b">
        <v>1</v>
      </c>
    </row>
    <row r="228">
      <c r="A228" s="12">
        <v>228.0</v>
      </c>
      <c r="B228" s="13" t="s">
        <v>599</v>
      </c>
      <c r="C228" s="14" t="s">
        <v>600</v>
      </c>
      <c r="D228" s="14">
        <v>2007.0</v>
      </c>
      <c r="E228" s="14"/>
      <c r="F228" s="1" t="b">
        <f t="shared" si="14"/>
        <v>1</v>
      </c>
      <c r="G228" s="14">
        <v>43.557199</v>
      </c>
      <c r="H228" s="14">
        <v>-72.858639</v>
      </c>
      <c r="I228" s="13" t="str">
        <f t="shared" si="30"/>
        <v>#ERROR!</v>
      </c>
      <c r="J228" s="12" t="s">
        <v>101</v>
      </c>
      <c r="K228" s="14" t="b">
        <v>0</v>
      </c>
      <c r="L228" s="12"/>
      <c r="M228" s="13"/>
      <c r="N228" s="13"/>
      <c r="O228" s="13"/>
      <c r="P228" s="13"/>
      <c r="Q228" s="13"/>
      <c r="R228" s="13"/>
      <c r="S228" s="13"/>
      <c r="T228" s="13"/>
      <c r="U228" s="13"/>
      <c r="V228" s="13"/>
      <c r="W228" s="13"/>
      <c r="X228" s="13"/>
      <c r="Y228" s="13"/>
      <c r="Z228" s="13"/>
      <c r="AA228" s="13"/>
      <c r="AB228" s="13"/>
      <c r="AC228" s="13"/>
    </row>
    <row r="229">
      <c r="A229" s="1">
        <v>229.0</v>
      </c>
      <c r="B229" s="1" t="s">
        <v>601</v>
      </c>
      <c r="C229" s="2" t="s">
        <v>602</v>
      </c>
      <c r="D229" s="1">
        <v>1923.0</v>
      </c>
      <c r="E229" s="2">
        <v>1932.0</v>
      </c>
      <c r="F229" s="1" t="b">
        <f t="shared" si="14"/>
        <v>0</v>
      </c>
      <c r="G229" s="1">
        <v>43.1500211478554</v>
      </c>
      <c r="H229" s="25">
        <v>-72.9944478892174</v>
      </c>
      <c r="J229" s="2" t="s">
        <v>21</v>
      </c>
      <c r="K229" s="2" t="b">
        <v>1</v>
      </c>
    </row>
    <row r="230">
      <c r="A230" s="1">
        <v>230.0</v>
      </c>
      <c r="B230" s="1" t="s">
        <v>603</v>
      </c>
      <c r="C230" s="2" t="s">
        <v>604</v>
      </c>
      <c r="D230" s="2">
        <v>1935.0</v>
      </c>
      <c r="E230" s="2">
        <v>1977.0</v>
      </c>
      <c r="F230" s="1" t="b">
        <f t="shared" si="14"/>
        <v>0</v>
      </c>
      <c r="G230" s="1">
        <v>43.1500211478554</v>
      </c>
      <c r="H230" s="25">
        <v>-72.9944478892174</v>
      </c>
      <c r="J230" s="1" t="s">
        <v>605</v>
      </c>
      <c r="K230" s="2" t="b">
        <v>1</v>
      </c>
    </row>
    <row r="231">
      <c r="A231" s="1">
        <v>231.0</v>
      </c>
      <c r="B231" s="3" t="s">
        <v>606</v>
      </c>
      <c r="C231" s="2" t="s">
        <v>607</v>
      </c>
      <c r="D231" s="2">
        <v>1956.0</v>
      </c>
      <c r="E231" s="2">
        <v>1973.0</v>
      </c>
      <c r="F231" s="1" t="b">
        <f t="shared" si="14"/>
        <v>0</v>
      </c>
      <c r="G231" s="2">
        <v>43.144634</v>
      </c>
      <c r="H231" s="2">
        <v>-72.99085</v>
      </c>
      <c r="I231" s="3" t="str">
        <f t="shared" ref="I231:I232" si="31">W3WCONVERTTO3WA(G231,H231)</f>
        <v>#ERROR!</v>
      </c>
      <c r="J231" s="1" t="s">
        <v>520</v>
      </c>
      <c r="K231" s="2" t="b">
        <v>1</v>
      </c>
    </row>
    <row r="232">
      <c r="A232" s="1">
        <v>232.0</v>
      </c>
      <c r="B232" s="3" t="s">
        <v>608</v>
      </c>
      <c r="C232" s="2" t="s">
        <v>609</v>
      </c>
      <c r="D232" s="2">
        <v>1920.0</v>
      </c>
      <c r="E232" s="2"/>
      <c r="F232" s="1" t="b">
        <f t="shared" si="14"/>
        <v>1</v>
      </c>
      <c r="G232" s="2">
        <v>44.54268</v>
      </c>
      <c r="H232" s="2">
        <v>-72.80969</v>
      </c>
      <c r="I232" s="3" t="str">
        <f t="shared" si="31"/>
        <v>#ERROR!</v>
      </c>
      <c r="J232" s="2" t="s">
        <v>38</v>
      </c>
      <c r="K232" s="2" t="b">
        <v>1</v>
      </c>
    </row>
    <row r="233">
      <c r="A233" s="12">
        <v>233.0</v>
      </c>
      <c r="B233" s="13" t="s">
        <v>610</v>
      </c>
      <c r="C233" s="14" t="s">
        <v>611</v>
      </c>
      <c r="D233" s="14">
        <v>1969.0</v>
      </c>
      <c r="E233" s="14">
        <v>1984.0</v>
      </c>
      <c r="F233" s="1" t="b">
        <f t="shared" si="14"/>
        <v>0</v>
      </c>
      <c r="G233" s="12">
        <v>43.5911427990585</v>
      </c>
      <c r="H233" s="29">
        <v>-72.8193608954023</v>
      </c>
      <c r="I233" s="13"/>
      <c r="J233" s="13"/>
      <c r="K233" s="14" t="b">
        <v>1</v>
      </c>
      <c r="L233" s="12" t="s">
        <v>612</v>
      </c>
      <c r="M233" s="13"/>
      <c r="N233" s="13"/>
      <c r="O233" s="13"/>
      <c r="P233" s="13"/>
      <c r="Q233" s="13"/>
      <c r="R233" s="13"/>
      <c r="S233" s="13"/>
      <c r="T233" s="13"/>
      <c r="U233" s="13"/>
      <c r="V233" s="13"/>
      <c r="W233" s="13"/>
      <c r="X233" s="13"/>
      <c r="Y233" s="13"/>
      <c r="Z233" s="13"/>
      <c r="AA233" s="13"/>
      <c r="AB233" s="13"/>
      <c r="AC233" s="13"/>
    </row>
    <row r="234">
      <c r="A234" s="1">
        <v>234.0</v>
      </c>
      <c r="B234" s="1" t="s">
        <v>613</v>
      </c>
      <c r="C234" s="2" t="s">
        <v>614</v>
      </c>
      <c r="D234" s="2">
        <v>1926.0</v>
      </c>
      <c r="E234" s="2">
        <v>1951.0</v>
      </c>
      <c r="F234" s="1" t="b">
        <f t="shared" si="14"/>
        <v>0</v>
      </c>
      <c r="G234" s="1">
        <v>44.484910651569</v>
      </c>
      <c r="H234" s="25">
        <v>-72.8266920731603</v>
      </c>
      <c r="J234" s="1" t="s">
        <v>33</v>
      </c>
      <c r="K234" s="2" t="b">
        <v>1</v>
      </c>
    </row>
    <row r="235">
      <c r="A235" s="1">
        <v>235.0</v>
      </c>
      <c r="B235" s="1" t="s">
        <v>615</v>
      </c>
      <c r="C235" s="2" t="s">
        <v>616</v>
      </c>
      <c r="D235" s="2">
        <v>1952.0</v>
      </c>
      <c r="E235" s="2">
        <v>1977.0</v>
      </c>
      <c r="F235" s="1" t="b">
        <f t="shared" si="14"/>
        <v>0</v>
      </c>
      <c r="G235" s="1">
        <v>44.484910651569</v>
      </c>
      <c r="H235" s="25">
        <v>-72.8266920731603</v>
      </c>
      <c r="J235" s="1" t="s">
        <v>33</v>
      </c>
      <c r="K235" s="2" t="b">
        <v>1</v>
      </c>
    </row>
    <row r="236">
      <c r="A236" s="12">
        <v>236.0</v>
      </c>
      <c r="B236" s="12" t="s">
        <v>617</v>
      </c>
      <c r="C236" s="14" t="s">
        <v>618</v>
      </c>
      <c r="D236" s="14">
        <v>1978.0</v>
      </c>
      <c r="E236" s="14"/>
      <c r="F236" s="1" t="b">
        <f t="shared" si="14"/>
        <v>1</v>
      </c>
      <c r="G236" s="14">
        <v>44.48492</v>
      </c>
      <c r="H236" s="14">
        <v>-72.82675</v>
      </c>
      <c r="I236" s="13" t="str">
        <f>W3WCONVERTTO3WA(G236,H236)</f>
        <v>#ERROR!</v>
      </c>
      <c r="J236" s="12" t="s">
        <v>619</v>
      </c>
      <c r="K236" s="14" t="b">
        <v>1</v>
      </c>
      <c r="L236" s="13"/>
      <c r="M236" s="13"/>
      <c r="N236" s="13"/>
      <c r="O236" s="13"/>
      <c r="P236" s="13"/>
      <c r="Q236" s="13"/>
      <c r="R236" s="13"/>
      <c r="S236" s="13"/>
      <c r="T236" s="13"/>
      <c r="U236" s="13"/>
      <c r="V236" s="13"/>
      <c r="W236" s="13"/>
      <c r="X236" s="13"/>
      <c r="Y236" s="13"/>
      <c r="Z236" s="13"/>
      <c r="AA236" s="13"/>
      <c r="AB236" s="13"/>
      <c r="AC236" s="13"/>
    </row>
    <row r="237">
      <c r="A237" s="1">
        <v>237.0</v>
      </c>
      <c r="B237" s="3" t="s">
        <v>620</v>
      </c>
      <c r="C237" s="2" t="s">
        <v>621</v>
      </c>
      <c r="D237" s="2">
        <v>1922.0</v>
      </c>
      <c r="E237" s="1">
        <v>1958.0</v>
      </c>
      <c r="F237" s="1" t="b">
        <f t="shared" si="14"/>
        <v>0</v>
      </c>
      <c r="G237" s="8">
        <v>42.84675</v>
      </c>
      <c r="H237" s="8">
        <v>-73.13288</v>
      </c>
      <c r="I237" s="3" t="str">
        <f>W3WCONVERTTO3WA(G238,H238)</f>
        <v>#ERROR!</v>
      </c>
      <c r="K237" s="2" t="b">
        <v>1</v>
      </c>
      <c r="L237" s="1"/>
    </row>
    <row r="238">
      <c r="A238" s="1">
        <v>238.0</v>
      </c>
      <c r="B238" s="3" t="s">
        <v>622</v>
      </c>
      <c r="C238" s="2" t="s">
        <v>623</v>
      </c>
      <c r="D238" s="2">
        <v>1929.0</v>
      </c>
      <c r="E238" s="1"/>
      <c r="F238" s="1" t="b">
        <f t="shared" si="14"/>
        <v>1</v>
      </c>
      <c r="G238" s="1">
        <v>41.2575589527617</v>
      </c>
      <c r="H238" s="25">
        <v>-74.1007595535388</v>
      </c>
      <c r="I238" s="3" t="str">
        <f>W3WCONVERTTO3WA(G237,H237)</f>
        <v>#ERROR!</v>
      </c>
      <c r="K238" s="2" t="b">
        <v>1</v>
      </c>
      <c r="L238" s="1" t="s">
        <v>624</v>
      </c>
      <c r="N238" s="21"/>
    </row>
    <row r="239">
      <c r="A239" s="12">
        <v>239.0</v>
      </c>
      <c r="B239" s="13" t="s">
        <v>625</v>
      </c>
      <c r="C239" s="14" t="s">
        <v>626</v>
      </c>
      <c r="D239" s="14">
        <v>1924.0</v>
      </c>
      <c r="E239" s="14">
        <v>1963.0</v>
      </c>
      <c r="F239" s="1" t="b">
        <f t="shared" si="14"/>
        <v>0</v>
      </c>
      <c r="G239" s="14">
        <v>44.19851</v>
      </c>
      <c r="H239" s="14">
        <v>-72.93559</v>
      </c>
      <c r="I239" s="13"/>
      <c r="J239" s="12" t="s">
        <v>33</v>
      </c>
      <c r="K239" s="14" t="b">
        <v>1</v>
      </c>
      <c r="L239" s="13"/>
      <c r="M239" s="13"/>
      <c r="N239" s="13"/>
      <c r="O239" s="13"/>
      <c r="P239" s="13"/>
      <c r="Q239" s="13"/>
      <c r="R239" s="13"/>
      <c r="S239" s="13"/>
      <c r="T239" s="13"/>
      <c r="U239" s="13"/>
      <c r="V239" s="13"/>
      <c r="W239" s="13"/>
      <c r="X239" s="13"/>
      <c r="Y239" s="13"/>
      <c r="Z239" s="13"/>
      <c r="AA239" s="13"/>
      <c r="AB239" s="13"/>
      <c r="AC239" s="13"/>
    </row>
    <row r="240">
      <c r="A240" s="1">
        <v>240.0</v>
      </c>
      <c r="B240" s="3" t="s">
        <v>627</v>
      </c>
      <c r="C240" s="2" t="s">
        <v>628</v>
      </c>
      <c r="D240" s="2">
        <v>1966.0</v>
      </c>
      <c r="E240" s="2"/>
      <c r="F240" s="1" t="b">
        <f t="shared" si="14"/>
        <v>1</v>
      </c>
      <c r="G240" s="2">
        <v>44.19851</v>
      </c>
      <c r="H240" s="2">
        <v>-72.93559</v>
      </c>
      <c r="I240" s="3" t="str">
        <f t="shared" ref="I240:I241" si="32">W3WCONVERTTO3WA(G240,H240)</f>
        <v>#ERROR!</v>
      </c>
      <c r="J240" s="12" t="s">
        <v>520</v>
      </c>
      <c r="K240" s="2" t="b">
        <v>1</v>
      </c>
    </row>
    <row r="241">
      <c r="A241" s="1">
        <v>241.0</v>
      </c>
      <c r="B241" s="3" t="s">
        <v>629</v>
      </c>
      <c r="C241" s="2" t="s">
        <v>630</v>
      </c>
      <c r="D241" s="2">
        <v>1995.0</v>
      </c>
      <c r="E241" s="2"/>
      <c r="F241" s="1" t="b">
        <f t="shared" si="14"/>
        <v>1</v>
      </c>
      <c r="G241" s="2">
        <v>43.69507</v>
      </c>
      <c r="H241" s="2">
        <v>-72.47531</v>
      </c>
      <c r="I241" s="3" t="str">
        <f t="shared" si="32"/>
        <v>#ERROR!</v>
      </c>
      <c r="J241" s="1" t="s">
        <v>520</v>
      </c>
      <c r="K241" s="2" t="b">
        <v>1</v>
      </c>
    </row>
    <row r="242">
      <c r="A242" s="12">
        <v>242.0</v>
      </c>
      <c r="B242" s="13" t="s">
        <v>631</v>
      </c>
      <c r="C242" s="14" t="s">
        <v>632</v>
      </c>
      <c r="D242" s="13"/>
      <c r="E242" s="14">
        <v>1931.0</v>
      </c>
      <c r="F242" s="1" t="b">
        <f t="shared" si="14"/>
        <v>0</v>
      </c>
      <c r="G242" s="12">
        <v>44.3737728500716</v>
      </c>
      <c r="H242" s="12">
        <v>-72.8790669877311</v>
      </c>
      <c r="I242" s="13"/>
      <c r="J242" s="14" t="s">
        <v>44</v>
      </c>
      <c r="K242" s="14" t="b">
        <v>0</v>
      </c>
      <c r="L242" s="13"/>
      <c r="M242" s="13"/>
      <c r="N242" s="13"/>
      <c r="O242" s="13"/>
      <c r="P242" s="13"/>
      <c r="Q242" s="13"/>
      <c r="R242" s="13"/>
      <c r="S242" s="13"/>
      <c r="T242" s="13"/>
      <c r="U242" s="13"/>
      <c r="V242" s="13"/>
      <c r="W242" s="13"/>
      <c r="X242" s="13"/>
      <c r="Y242" s="13"/>
      <c r="Z242" s="13"/>
      <c r="AA242" s="13"/>
      <c r="AB242" s="13"/>
      <c r="AC242" s="13"/>
    </row>
    <row r="243">
      <c r="A243" s="12">
        <v>243.0</v>
      </c>
      <c r="B243" s="13" t="s">
        <v>633</v>
      </c>
      <c r="C243" s="14" t="s">
        <v>634</v>
      </c>
      <c r="D243" s="14">
        <v>1920.0</v>
      </c>
      <c r="E243" s="12">
        <v>1928.0</v>
      </c>
      <c r="F243" s="1" t="b">
        <f t="shared" si="14"/>
        <v>0</v>
      </c>
      <c r="G243" s="12">
        <v>43.333718444362</v>
      </c>
      <c r="H243" s="12">
        <v>-72.9295900994167</v>
      </c>
      <c r="I243" s="13"/>
      <c r="J243" s="14" t="s">
        <v>21</v>
      </c>
      <c r="K243" s="14" t="b">
        <v>0</v>
      </c>
      <c r="L243" s="13"/>
      <c r="M243" s="13"/>
      <c r="N243" s="13"/>
      <c r="O243" s="13"/>
      <c r="P243" s="13"/>
      <c r="Q243" s="13"/>
      <c r="R243" s="13"/>
      <c r="S243" s="13"/>
      <c r="T243" s="13"/>
      <c r="U243" s="13"/>
      <c r="V243" s="13"/>
      <c r="W243" s="13"/>
      <c r="X243" s="13"/>
      <c r="Y243" s="13"/>
      <c r="Z243" s="13"/>
      <c r="AA243" s="13"/>
      <c r="AB243" s="13"/>
      <c r="AC243" s="13"/>
    </row>
    <row r="244">
      <c r="A244" s="1">
        <v>244.0</v>
      </c>
      <c r="B244" s="1" t="s">
        <v>635</v>
      </c>
      <c r="C244" s="2" t="s">
        <v>636</v>
      </c>
      <c r="D244" s="2">
        <v>1929.0</v>
      </c>
      <c r="E244" s="2">
        <v>1938.0</v>
      </c>
      <c r="F244" s="1" t="b">
        <f t="shared" si="14"/>
        <v>0</v>
      </c>
      <c r="G244" s="2">
        <v>44.79935</v>
      </c>
      <c r="H244" s="2">
        <v>-72.55094</v>
      </c>
      <c r="J244" s="1" t="s">
        <v>145</v>
      </c>
      <c r="K244" s="1" t="b">
        <v>1</v>
      </c>
      <c r="L244" s="1" t="s">
        <v>637</v>
      </c>
    </row>
    <row r="245">
      <c r="A245" s="1">
        <v>245.0</v>
      </c>
      <c r="B245" s="1" t="s">
        <v>638</v>
      </c>
      <c r="C245" s="2" t="s">
        <v>639</v>
      </c>
      <c r="D245" s="2">
        <v>1939.0</v>
      </c>
      <c r="E245" s="2"/>
      <c r="F245" s="1" t="b">
        <f t="shared" si="14"/>
        <v>1</v>
      </c>
      <c r="G245" s="2">
        <v>44.79935</v>
      </c>
      <c r="H245" s="2">
        <v>-72.55094</v>
      </c>
      <c r="I245" s="3" t="str">
        <f t="shared" ref="I245:I247" si="33">W3WCONVERTTO3WA(G245,H245)</f>
        <v>#ERROR!</v>
      </c>
      <c r="J245" s="2" t="s">
        <v>30</v>
      </c>
      <c r="K245" s="2" t="b">
        <v>1</v>
      </c>
    </row>
    <row r="246">
      <c r="A246" s="12">
        <v>246.0</v>
      </c>
      <c r="B246" s="13" t="s">
        <v>640</v>
      </c>
      <c r="C246" s="14" t="s">
        <v>641</v>
      </c>
      <c r="D246" s="14">
        <v>1927.0</v>
      </c>
      <c r="E246" s="14">
        <v>1968.0</v>
      </c>
      <c r="F246" s="1" t="b">
        <f t="shared" si="14"/>
        <v>0</v>
      </c>
      <c r="G246" s="14">
        <v>43.4720034</v>
      </c>
      <c r="H246" s="14">
        <v>-72.9764593</v>
      </c>
      <c r="I246" s="13" t="str">
        <f t="shared" si="33"/>
        <v>#ERROR!</v>
      </c>
      <c r="J246" s="14" t="s">
        <v>27</v>
      </c>
      <c r="K246" s="14" t="b">
        <v>0</v>
      </c>
      <c r="L246" s="13"/>
      <c r="M246" s="13"/>
      <c r="N246" s="13"/>
      <c r="O246" s="13"/>
      <c r="P246" s="13"/>
      <c r="Q246" s="13"/>
      <c r="R246" s="13"/>
      <c r="S246" s="13"/>
      <c r="T246" s="13"/>
      <c r="U246" s="13"/>
      <c r="V246" s="13"/>
      <c r="W246" s="13"/>
      <c r="X246" s="13"/>
      <c r="Y246" s="13"/>
      <c r="Z246" s="13"/>
      <c r="AA246" s="13"/>
      <c r="AB246" s="13"/>
      <c r="AC246" s="13"/>
    </row>
    <row r="247">
      <c r="A247" s="1">
        <v>247.0</v>
      </c>
      <c r="B247" s="3" t="s">
        <v>642</v>
      </c>
      <c r="C247" s="2" t="s">
        <v>643</v>
      </c>
      <c r="D247" s="2">
        <v>1969.0</v>
      </c>
      <c r="E247" s="2"/>
      <c r="F247" s="1" t="b">
        <f t="shared" si="14"/>
        <v>1</v>
      </c>
      <c r="G247" s="2">
        <v>43.68201</v>
      </c>
      <c r="H247" s="2">
        <v>-72.84705</v>
      </c>
      <c r="I247" s="3" t="str">
        <f t="shared" si="33"/>
        <v>#ERROR!</v>
      </c>
      <c r="J247" s="1" t="s">
        <v>145</v>
      </c>
      <c r="K247" s="2" t="b">
        <v>1</v>
      </c>
    </row>
    <row r="248">
      <c r="A248" s="1">
        <v>248.0</v>
      </c>
      <c r="B248" s="3" t="s">
        <v>644</v>
      </c>
      <c r="C248" s="2" t="s">
        <v>645</v>
      </c>
      <c r="D248" s="2">
        <v>1938.0</v>
      </c>
      <c r="E248" s="2">
        <v>1971.0</v>
      </c>
      <c r="F248" s="1" t="b">
        <f t="shared" si="14"/>
        <v>0</v>
      </c>
      <c r="G248" s="1">
        <v>43.6745420740706</v>
      </c>
      <c r="H248" s="25">
        <v>-72.8395792879629</v>
      </c>
      <c r="J248" s="1" t="s">
        <v>646</v>
      </c>
      <c r="K248" s="2" t="b">
        <v>1</v>
      </c>
    </row>
    <row r="249">
      <c r="A249" s="1">
        <v>249.0</v>
      </c>
      <c r="B249" s="3" t="s">
        <v>647</v>
      </c>
      <c r="C249" s="2" t="s">
        <v>648</v>
      </c>
      <c r="D249" s="2">
        <v>1976.0</v>
      </c>
      <c r="E249" s="2"/>
      <c r="F249" s="1" t="b">
        <f t="shared" si="14"/>
        <v>1</v>
      </c>
      <c r="G249" s="2">
        <v>44.50253</v>
      </c>
      <c r="H249" s="2">
        <v>-72.82915</v>
      </c>
      <c r="I249" s="3" t="str">
        <f t="shared" ref="I249:I251" si="34">W3WCONVERTTO3WA(G249,H249)</f>
        <v>#ERROR!</v>
      </c>
      <c r="K249" s="2" t="b">
        <v>1</v>
      </c>
    </row>
    <row r="250">
      <c r="A250" s="1">
        <v>250.0</v>
      </c>
      <c r="B250" s="3" t="s">
        <v>649</v>
      </c>
      <c r="C250" s="2" t="s">
        <v>650</v>
      </c>
      <c r="D250" s="2">
        <v>1951.0</v>
      </c>
      <c r="E250" s="2"/>
      <c r="F250" s="1" t="b">
        <f t="shared" si="14"/>
        <v>1</v>
      </c>
      <c r="G250" s="2">
        <v>44.529239</v>
      </c>
      <c r="H250" s="2">
        <v>-72.841865</v>
      </c>
      <c r="I250" s="3" t="str">
        <f t="shared" si="34"/>
        <v>#ERROR!</v>
      </c>
      <c r="J250" s="1" t="s">
        <v>651</v>
      </c>
      <c r="K250" s="2" t="b">
        <v>0</v>
      </c>
    </row>
    <row r="251">
      <c r="A251" s="1">
        <v>251.0</v>
      </c>
      <c r="B251" s="3" t="s">
        <v>652</v>
      </c>
      <c r="C251" s="2" t="s">
        <v>653</v>
      </c>
      <c r="D251" s="2">
        <v>1967.0</v>
      </c>
      <c r="E251" s="2">
        <v>1999.0</v>
      </c>
      <c r="F251" s="1" t="b">
        <f t="shared" si="14"/>
        <v>0</v>
      </c>
      <c r="G251" s="2">
        <v>43.10202</v>
      </c>
      <c r="H251" s="2">
        <v>-72.96788</v>
      </c>
      <c r="I251" s="3" t="str">
        <f t="shared" si="34"/>
        <v>#ERROR!</v>
      </c>
      <c r="J251" s="1" t="s">
        <v>145</v>
      </c>
      <c r="K251" s="2" t="b">
        <v>1</v>
      </c>
    </row>
    <row r="252">
      <c r="A252" s="1">
        <v>252.0</v>
      </c>
      <c r="B252" s="3" t="s">
        <v>654</v>
      </c>
      <c r="C252" s="2" t="s">
        <v>655</v>
      </c>
      <c r="D252" s="2">
        <v>1952.0</v>
      </c>
      <c r="E252" s="2">
        <v>1969.0</v>
      </c>
      <c r="F252" s="1" t="b">
        <f t="shared" si="14"/>
        <v>0</v>
      </c>
      <c r="G252" s="1">
        <v>43.930548523892</v>
      </c>
      <c r="H252" s="1">
        <v>-72.9598850715386</v>
      </c>
      <c r="J252" s="1" t="s">
        <v>33</v>
      </c>
      <c r="K252" s="2" t="b">
        <v>1</v>
      </c>
    </row>
    <row r="253">
      <c r="A253" s="12">
        <v>253.0</v>
      </c>
      <c r="B253" s="13" t="s">
        <v>656</v>
      </c>
      <c r="C253" s="14" t="s">
        <v>657</v>
      </c>
      <c r="D253" s="14">
        <v>1980.0</v>
      </c>
      <c r="E253" s="14">
        <v>2011.0</v>
      </c>
      <c r="F253" s="1" t="b">
        <f t="shared" si="14"/>
        <v>0</v>
      </c>
      <c r="G253" s="12">
        <v>44.5561011807612</v>
      </c>
      <c r="H253" s="12">
        <v>-72.7725578628165</v>
      </c>
      <c r="I253" s="13" t="str">
        <f t="shared" ref="I253:I254" si="35">W3WCONVERTTO3WA(G253,H253)</f>
        <v>#ERROR!</v>
      </c>
      <c r="J253" s="12" t="s">
        <v>658</v>
      </c>
      <c r="K253" s="14" t="b">
        <v>1</v>
      </c>
      <c r="L253" s="13"/>
      <c r="M253" s="13"/>
      <c r="N253" s="13"/>
      <c r="O253" s="13"/>
      <c r="P253" s="13"/>
      <c r="Q253" s="13"/>
      <c r="R253" s="13"/>
      <c r="S253" s="13"/>
      <c r="T253" s="13"/>
      <c r="U253" s="13"/>
      <c r="V253" s="13"/>
      <c r="W253" s="13"/>
      <c r="X253" s="13"/>
      <c r="Y253" s="13"/>
      <c r="Z253" s="13"/>
      <c r="AA253" s="13"/>
      <c r="AB253" s="13"/>
      <c r="AC253" s="13"/>
    </row>
    <row r="254">
      <c r="A254" s="1">
        <v>254.0</v>
      </c>
      <c r="B254" s="3" t="s">
        <v>659</v>
      </c>
      <c r="C254" s="2" t="s">
        <v>660</v>
      </c>
      <c r="D254" s="2">
        <v>2004.0</v>
      </c>
      <c r="E254" s="2"/>
      <c r="F254" s="1" t="b">
        <f t="shared" si="14"/>
        <v>1</v>
      </c>
      <c r="G254" s="1">
        <v>44.7138136469107</v>
      </c>
      <c r="H254" s="1">
        <v>-72.1017497544722</v>
      </c>
      <c r="I254" s="3" t="str">
        <f t="shared" si="35"/>
        <v>#ERROR!</v>
      </c>
      <c r="J254" s="1" t="s">
        <v>658</v>
      </c>
      <c r="K254" s="1" t="b">
        <v>0</v>
      </c>
      <c r="L254" s="1" t="s">
        <v>661</v>
      </c>
    </row>
    <row r="255">
      <c r="A255" s="1">
        <v>255.0</v>
      </c>
      <c r="B255" s="3" t="s">
        <v>662</v>
      </c>
      <c r="C255" s="2" t="s">
        <v>663</v>
      </c>
      <c r="D255" s="1">
        <v>1923.0</v>
      </c>
      <c r="E255" s="2">
        <v>1958.0</v>
      </c>
      <c r="F255" s="1" t="b">
        <f t="shared" si="14"/>
        <v>0</v>
      </c>
      <c r="G255" s="1">
        <v>44.5776246834885</v>
      </c>
      <c r="H255" s="1">
        <v>-72.7395439413617</v>
      </c>
      <c r="J255" s="2" t="s">
        <v>24</v>
      </c>
      <c r="K255" s="2" t="b">
        <v>1</v>
      </c>
    </row>
    <row r="256">
      <c r="A256" s="12">
        <v>256.0</v>
      </c>
      <c r="B256" s="13" t="s">
        <v>664</v>
      </c>
      <c r="C256" s="14" t="s">
        <v>665</v>
      </c>
      <c r="D256" s="14">
        <v>1958.0</v>
      </c>
      <c r="E256" s="14"/>
      <c r="F256" s="1" t="b">
        <f t="shared" si="14"/>
        <v>1</v>
      </c>
      <c r="G256" s="12">
        <v>44.5776246834885</v>
      </c>
      <c r="H256" s="12">
        <v>-72.7395439413617</v>
      </c>
      <c r="I256" s="13" t="str">
        <f t="shared" ref="I256:I257" si="36">W3WCONVERTTO3WA(G256,H256)</f>
        <v>#ERROR!</v>
      </c>
      <c r="J256" s="14" t="s">
        <v>38</v>
      </c>
      <c r="K256" s="14" t="b">
        <v>1</v>
      </c>
      <c r="L256" s="13"/>
      <c r="M256" s="13"/>
      <c r="N256" s="13"/>
      <c r="O256" s="13"/>
      <c r="P256" s="13"/>
      <c r="Q256" s="13"/>
      <c r="R256" s="13"/>
      <c r="S256" s="13"/>
      <c r="T256" s="13"/>
      <c r="U256" s="13"/>
      <c r="V256" s="13"/>
      <c r="W256" s="13"/>
      <c r="X256" s="13"/>
      <c r="Y256" s="13"/>
      <c r="Z256" s="13"/>
      <c r="AA256" s="13"/>
      <c r="AB256" s="13"/>
      <c r="AC256" s="13"/>
    </row>
    <row r="257">
      <c r="A257" s="1">
        <v>257.0</v>
      </c>
      <c r="B257" s="3" t="s">
        <v>666</v>
      </c>
      <c r="C257" s="2" t="s">
        <v>667</v>
      </c>
      <c r="D257" s="2">
        <v>2010.0</v>
      </c>
      <c r="E257" s="2"/>
      <c r="F257" s="1" t="b">
        <f t="shared" si="14"/>
        <v>1</v>
      </c>
      <c r="G257" s="2">
        <v>42.233597</v>
      </c>
      <c r="H257" s="2">
        <v>-71.9402735</v>
      </c>
      <c r="I257" s="3" t="str">
        <f t="shared" si="36"/>
        <v>#ERROR!</v>
      </c>
      <c r="J257" s="1" t="s">
        <v>668</v>
      </c>
      <c r="K257" s="2" t="b">
        <v>1</v>
      </c>
    </row>
    <row r="258">
      <c r="A258" s="12">
        <v>258.0</v>
      </c>
      <c r="B258" s="12" t="s">
        <v>669</v>
      </c>
      <c r="C258" s="14" t="s">
        <v>670</v>
      </c>
      <c r="D258" s="14">
        <v>1949.0</v>
      </c>
      <c r="E258" s="14">
        <v>1964.0</v>
      </c>
      <c r="F258" s="1" t="b">
        <f t="shared" si="14"/>
        <v>0</v>
      </c>
      <c r="G258" s="14">
        <v>44.360572</v>
      </c>
      <c r="H258" s="14">
        <v>-72.876468</v>
      </c>
      <c r="I258" s="13"/>
      <c r="J258" s="12" t="s">
        <v>671</v>
      </c>
      <c r="K258" s="14" t="b">
        <v>1</v>
      </c>
      <c r="L258" s="13"/>
      <c r="M258" s="13"/>
      <c r="N258" s="13"/>
      <c r="O258" s="13"/>
      <c r="P258" s="13"/>
      <c r="Q258" s="13"/>
      <c r="R258" s="13"/>
      <c r="S258" s="13"/>
      <c r="T258" s="13"/>
      <c r="U258" s="13"/>
      <c r="V258" s="13"/>
      <c r="W258" s="13"/>
      <c r="X258" s="13"/>
      <c r="Y258" s="13"/>
      <c r="Z258" s="13"/>
      <c r="AA258" s="13"/>
      <c r="AB258" s="13"/>
      <c r="AC258" s="13"/>
    </row>
    <row r="259">
      <c r="A259" s="12">
        <v>259.0</v>
      </c>
      <c r="B259" s="12" t="s">
        <v>672</v>
      </c>
      <c r="C259" s="14" t="s">
        <v>673</v>
      </c>
      <c r="D259" s="14">
        <v>1962.0</v>
      </c>
      <c r="E259" s="12">
        <v>1985.0</v>
      </c>
      <c r="F259" s="1" t="b">
        <f t="shared" si="14"/>
        <v>0</v>
      </c>
      <c r="G259" s="12">
        <v>44.3507366077808</v>
      </c>
      <c r="H259" s="12">
        <v>-72.9264251387999</v>
      </c>
      <c r="I259" s="13" t="str">
        <f t="shared" ref="I259:I260" si="37">W3WCONVERTTO3WA(G259,H259)</f>
        <v>#ERROR!</v>
      </c>
      <c r="J259" s="12" t="s">
        <v>671</v>
      </c>
      <c r="K259" s="14" t="b">
        <v>1</v>
      </c>
      <c r="L259" s="13"/>
      <c r="M259" s="13"/>
      <c r="N259" s="13"/>
      <c r="O259" s="13"/>
      <c r="P259" s="13"/>
      <c r="Q259" s="13"/>
      <c r="R259" s="13"/>
      <c r="S259" s="13"/>
      <c r="T259" s="13"/>
      <c r="U259" s="13"/>
      <c r="V259" s="13"/>
      <c r="W259" s="13"/>
      <c r="X259" s="13"/>
      <c r="Y259" s="13"/>
      <c r="Z259" s="13"/>
      <c r="AA259" s="13"/>
      <c r="AB259" s="13"/>
      <c r="AC259" s="13"/>
    </row>
    <row r="260">
      <c r="A260" s="1">
        <v>260.0</v>
      </c>
      <c r="B260" s="3" t="s">
        <v>674</v>
      </c>
      <c r="C260" s="2" t="s">
        <v>675</v>
      </c>
      <c r="D260" s="2">
        <v>1974.0</v>
      </c>
      <c r="E260" s="2"/>
      <c r="F260" s="1" t="b">
        <f t="shared" si="14"/>
        <v>1</v>
      </c>
      <c r="G260" s="1">
        <v>43.1446693039756</v>
      </c>
      <c r="H260" s="1">
        <v>-72.9909742094423</v>
      </c>
      <c r="I260" s="3" t="str">
        <f t="shared" si="37"/>
        <v>#ERROR!</v>
      </c>
      <c r="J260" s="1" t="s">
        <v>24</v>
      </c>
      <c r="K260" s="2" t="b">
        <v>1</v>
      </c>
    </row>
    <row r="261">
      <c r="A261" s="1">
        <v>261.0</v>
      </c>
      <c r="B261" s="1" t="s">
        <v>676</v>
      </c>
      <c r="C261" s="2" t="s">
        <v>677</v>
      </c>
      <c r="D261" s="2">
        <v>1934.0</v>
      </c>
      <c r="E261" s="2">
        <v>1952.0</v>
      </c>
      <c r="F261" s="1" t="b">
        <f t="shared" si="14"/>
        <v>0</v>
      </c>
      <c r="G261" s="1">
        <v>43.1050439362801</v>
      </c>
      <c r="H261" s="1">
        <v>-72.9648926848304</v>
      </c>
      <c r="J261" s="1" t="s">
        <v>24</v>
      </c>
      <c r="K261" s="2" t="b">
        <v>1</v>
      </c>
    </row>
    <row r="262">
      <c r="A262" s="1">
        <v>262.0</v>
      </c>
      <c r="B262" s="1" t="s">
        <v>678</v>
      </c>
      <c r="C262" s="2" t="s">
        <v>679</v>
      </c>
      <c r="D262" s="1">
        <v>1953.0</v>
      </c>
      <c r="E262" s="2">
        <v>1961.0</v>
      </c>
      <c r="F262" s="1" t="b">
        <f t="shared" si="14"/>
        <v>0</v>
      </c>
      <c r="G262" s="1">
        <v>43.1050439362801</v>
      </c>
      <c r="H262" s="1">
        <v>-72.9648926848304</v>
      </c>
      <c r="J262" s="1" t="s">
        <v>24</v>
      </c>
      <c r="K262" s="2" t="b">
        <v>1</v>
      </c>
    </row>
    <row r="263">
      <c r="A263" s="1">
        <v>263.0</v>
      </c>
      <c r="B263" s="3" t="s">
        <v>680</v>
      </c>
      <c r="C263" s="2" t="s">
        <v>681</v>
      </c>
      <c r="D263" s="2">
        <v>1929.0</v>
      </c>
      <c r="E263" s="2">
        <v>1972.0</v>
      </c>
      <c r="F263" s="1" t="b">
        <f t="shared" si="14"/>
        <v>0</v>
      </c>
      <c r="G263" s="38">
        <v>43.1033091091317</v>
      </c>
      <c r="H263" s="38">
        <v>-72.9646731033023</v>
      </c>
      <c r="J263" s="12" t="s">
        <v>671</v>
      </c>
      <c r="K263" s="2" t="b">
        <v>1</v>
      </c>
    </row>
    <row r="264">
      <c r="A264" s="1">
        <v>264.0</v>
      </c>
      <c r="B264" s="1" t="s">
        <v>682</v>
      </c>
      <c r="C264" s="2" t="s">
        <v>683</v>
      </c>
      <c r="D264" s="2">
        <v>1984.0</v>
      </c>
      <c r="E264" s="2">
        <v>1994.0</v>
      </c>
      <c r="F264" s="1" t="b">
        <f t="shared" si="14"/>
        <v>0</v>
      </c>
      <c r="G264" s="1">
        <v>43.6631208209112</v>
      </c>
      <c r="H264" s="1">
        <v>-72.6197348664448</v>
      </c>
      <c r="I264" s="3" t="str">
        <f t="shared" ref="I264:I266" si="38">W3WCONVERTTO3WA(G264,H264)</f>
        <v>#ERROR!</v>
      </c>
      <c r="J264" s="1" t="s">
        <v>24</v>
      </c>
      <c r="K264" s="2" t="b">
        <v>1</v>
      </c>
    </row>
    <row r="265">
      <c r="A265" s="1">
        <v>265.0</v>
      </c>
      <c r="B265" s="1" t="s">
        <v>684</v>
      </c>
      <c r="C265" s="2" t="s">
        <v>685</v>
      </c>
      <c r="D265" s="2">
        <v>1995.0</v>
      </c>
      <c r="E265" s="2"/>
      <c r="F265" s="1" t="b">
        <f t="shared" si="14"/>
        <v>1</v>
      </c>
      <c r="G265" s="1">
        <v>43.6631208209112</v>
      </c>
      <c r="H265" s="1">
        <v>-72.6197348664448</v>
      </c>
      <c r="I265" s="3" t="str">
        <f t="shared" si="38"/>
        <v>#ERROR!</v>
      </c>
      <c r="J265" s="1" t="s">
        <v>145</v>
      </c>
      <c r="K265" s="2" t="b">
        <v>1</v>
      </c>
    </row>
    <row r="266">
      <c r="A266" s="1">
        <v>266.0</v>
      </c>
      <c r="B266" s="3" t="s">
        <v>686</v>
      </c>
      <c r="C266" s="2" t="s">
        <v>687</v>
      </c>
      <c r="D266" s="2">
        <v>1959.0</v>
      </c>
      <c r="E266" s="2">
        <v>2011.0</v>
      </c>
      <c r="F266" s="1" t="b">
        <f t="shared" si="14"/>
        <v>0</v>
      </c>
      <c r="G266" s="2">
        <v>43.93062</v>
      </c>
      <c r="H266" s="2">
        <v>-72.96122</v>
      </c>
      <c r="I266" s="3" t="str">
        <f t="shared" si="38"/>
        <v>#ERROR!</v>
      </c>
      <c r="J266" s="1" t="s">
        <v>658</v>
      </c>
      <c r="K266" s="2" t="b">
        <v>0</v>
      </c>
    </row>
    <row r="267">
      <c r="A267" s="1">
        <v>267.0</v>
      </c>
      <c r="B267" s="3" t="s">
        <v>688</v>
      </c>
      <c r="C267" s="2" t="s">
        <v>689</v>
      </c>
      <c r="E267" s="2">
        <v>1932.0</v>
      </c>
      <c r="F267" s="1" t="b">
        <f t="shared" si="14"/>
        <v>0</v>
      </c>
      <c r="G267" s="1">
        <v>41.0758287010894</v>
      </c>
      <c r="H267" s="1">
        <v>-74.34711972153</v>
      </c>
      <c r="J267" s="1" t="s">
        <v>690</v>
      </c>
      <c r="K267" s="1" t="b">
        <v>0</v>
      </c>
    </row>
  </sheetData>
  <conditionalFormatting sqref="A163:E163 G163:AC163">
    <cfRule type="notContainsBlanks" dxfId="0" priority="1">
      <formula>LEN(TRIM(A163))&gt;0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40.88"/>
    <col customWidth="1" min="3" max="3" width="4.25"/>
    <col customWidth="1" min="4" max="4" width="8.38"/>
  </cols>
  <sheetData>
    <row r="1">
      <c r="A1" s="1"/>
      <c r="B1" s="1" t="s">
        <v>2</v>
      </c>
      <c r="C1" s="39" t="s">
        <v>691</v>
      </c>
      <c r="D1" s="1" t="s">
        <v>3</v>
      </c>
      <c r="F1" s="1" t="s">
        <v>4</v>
      </c>
      <c r="G1" s="39" t="s">
        <v>691</v>
      </c>
      <c r="H1" s="1" t="s">
        <v>10</v>
      </c>
      <c r="I1" s="1" t="s">
        <v>692</v>
      </c>
      <c r="J1" s="1" t="s">
        <v>9</v>
      </c>
      <c r="K1" s="39" t="s">
        <v>693</v>
      </c>
      <c r="L1" s="1" t="s">
        <v>11</v>
      </c>
      <c r="M1" s="39" t="s">
        <v>694</v>
      </c>
    </row>
    <row r="2">
      <c r="A2" s="1" t="s">
        <v>695</v>
      </c>
      <c r="B2" s="3" t="str">
        <f>Sheet1!C2</f>
        <v>Aeolus View Camp</v>
      </c>
      <c r="C2" s="39" t="s">
        <v>696</v>
      </c>
      <c r="D2" s="3">
        <f>Sheet1!D2</f>
        <v>1922</v>
      </c>
      <c r="E2" s="1" t="s">
        <v>697</v>
      </c>
      <c r="F2" s="3">
        <f>Sheet1!E2</f>
        <v>1932</v>
      </c>
      <c r="G2" s="1" t="s">
        <v>698</v>
      </c>
      <c r="H2" s="3">
        <f>IF(Sheet1!K2, 1, 0)
</f>
        <v>1</v>
      </c>
      <c r="I2" s="39" t="s">
        <v>699</v>
      </c>
      <c r="J2" s="3" t="str">
        <f>Sheet1!J2</f>
        <v/>
      </c>
      <c r="K2" s="39" t="s">
        <v>700</v>
      </c>
      <c r="L2" s="3" t="str">
        <f>Sheet1!L2</f>
        <v/>
      </c>
      <c r="M2" s="39" t="s">
        <v>701</v>
      </c>
      <c r="N2" s="3" t="str">
        <f>Sheet1!B2</f>
        <v>aeolus-view-camp</v>
      </c>
      <c r="O2" s="39" t="s">
        <v>702</v>
      </c>
    </row>
    <row r="3">
      <c r="A3" s="1" t="s">
        <v>695</v>
      </c>
      <c r="B3" s="3" t="str">
        <f>Sheet1!C3</f>
        <v>Aldrich Job Camp</v>
      </c>
      <c r="C3" s="39" t="s">
        <v>696</v>
      </c>
      <c r="D3" s="3">
        <f>Sheet1!D3</f>
        <v>1910</v>
      </c>
      <c r="E3" s="1" t="s">
        <v>697</v>
      </c>
      <c r="F3" s="3">
        <f>Sheet1!E3</f>
        <v>1930</v>
      </c>
      <c r="G3" s="1" t="s">
        <v>698</v>
      </c>
      <c r="H3" s="3">
        <f>IF(Sheet1!K3, 1, 0)
</f>
        <v>0</v>
      </c>
      <c r="I3" s="39" t="s">
        <v>699</v>
      </c>
      <c r="J3" s="3" t="str">
        <f>Sheet1!J3</f>
        <v/>
      </c>
      <c r="K3" s="39" t="s">
        <v>700</v>
      </c>
      <c r="L3" s="3" t="str">
        <f>Sheet1!L3</f>
        <v/>
      </c>
      <c r="M3" s="39" t="s">
        <v>701</v>
      </c>
      <c r="N3" s="3" t="str">
        <f>Sheet1!B3</f>
        <v>aldrich-job-camp</v>
      </c>
      <c r="O3" s="39" t="s">
        <v>702</v>
      </c>
    </row>
    <row r="4">
      <c r="A4" s="1" t="s">
        <v>695</v>
      </c>
      <c r="B4" s="3" t="str">
        <f>Sheet1!C4</f>
        <v>Atlas Valley Shelter</v>
      </c>
      <c r="C4" s="39" t="s">
        <v>696</v>
      </c>
      <c r="D4" s="3">
        <f>Sheet1!D4</f>
        <v>1967</v>
      </c>
      <c r="E4" s="1" t="s">
        <v>697</v>
      </c>
      <c r="F4" s="3" t="str">
        <f>Sheet1!E4</f>
        <v/>
      </c>
      <c r="G4" s="1" t="s">
        <v>698</v>
      </c>
      <c r="H4" s="3">
        <f>IF(Sheet1!K4, 1, 0)
</f>
        <v>1</v>
      </c>
      <c r="I4" s="39" t="s">
        <v>699</v>
      </c>
      <c r="J4" s="3" t="str">
        <f>Sheet1!J4</f>
        <v>Prefab shelter</v>
      </c>
      <c r="K4" s="39" t="s">
        <v>700</v>
      </c>
      <c r="L4" s="3" t="str">
        <f>Sheet1!L4</f>
        <v/>
      </c>
      <c r="M4" s="39" t="s">
        <v>701</v>
      </c>
      <c r="N4" s="3" t="str">
        <f>Sheet1!B4</f>
        <v>atlas-valley-shelter</v>
      </c>
      <c r="O4" s="39" t="s">
        <v>702</v>
      </c>
    </row>
    <row r="5">
      <c r="A5" s="1" t="s">
        <v>695</v>
      </c>
      <c r="B5" s="3" t="str">
        <f>Sheet1!C5</f>
        <v>Badger Camp</v>
      </c>
      <c r="C5" s="39" t="s">
        <v>696</v>
      </c>
      <c r="D5" s="3">
        <f>Sheet1!D5</f>
        <v>1928</v>
      </c>
      <c r="E5" s="1" t="s">
        <v>697</v>
      </c>
      <c r="F5" s="3">
        <f>Sheet1!E5</f>
        <v>1931</v>
      </c>
      <c r="G5" s="1" t="s">
        <v>698</v>
      </c>
      <c r="H5" s="3">
        <f>IF(Sheet1!K5, 1, 0)
</f>
        <v>0</v>
      </c>
      <c r="I5" s="39" t="s">
        <v>699</v>
      </c>
      <c r="J5" s="3" t="str">
        <f>Sheet1!J5</f>
        <v>Lumber Camp</v>
      </c>
      <c r="K5" s="39" t="s">
        <v>700</v>
      </c>
      <c r="L5" s="3" t="str">
        <f>Sheet1!L5</f>
        <v/>
      </c>
      <c r="M5" s="39" t="s">
        <v>701</v>
      </c>
      <c r="N5" s="3" t="str">
        <f>Sheet1!B5</f>
        <v>badger-camp</v>
      </c>
      <c r="O5" s="39" t="s">
        <v>702</v>
      </c>
    </row>
    <row r="6">
      <c r="A6" s="1" t="s">
        <v>695</v>
      </c>
      <c r="B6" s="3" t="str">
        <f>Sheet1!C6</f>
        <v>Bamforth Ridge</v>
      </c>
      <c r="C6" s="39" t="s">
        <v>696</v>
      </c>
      <c r="D6" s="3">
        <f>Sheet1!D6</f>
        <v>2002</v>
      </c>
      <c r="E6" s="1" t="s">
        <v>697</v>
      </c>
      <c r="F6" s="3" t="str">
        <f>Sheet1!E6</f>
        <v/>
      </c>
      <c r="G6" s="1" t="s">
        <v>698</v>
      </c>
      <c r="H6" s="3">
        <f>IF(Sheet1!K6, 1, 0)
</f>
        <v>1</v>
      </c>
      <c r="I6" s="39" t="s">
        <v>699</v>
      </c>
      <c r="J6" s="3" t="str">
        <f>Sheet1!J6</f>
        <v>Log Lean-To</v>
      </c>
      <c r="K6" s="39" t="s">
        <v>700</v>
      </c>
      <c r="L6" s="3" t="str">
        <f>Sheet1!L6</f>
        <v/>
      </c>
      <c r="M6" s="39" t="s">
        <v>701</v>
      </c>
      <c r="N6" s="3" t="str">
        <f>Sheet1!B6</f>
        <v>bamforth-ridge</v>
      </c>
      <c r="O6" s="39" t="s">
        <v>702</v>
      </c>
    </row>
    <row r="7">
      <c r="A7" s="1" t="s">
        <v>695</v>
      </c>
      <c r="B7" s="3" t="str">
        <f>Sheet1!C7</f>
        <v>Barnes Camp</v>
      </c>
      <c r="C7" s="39" t="s">
        <v>696</v>
      </c>
      <c r="D7" s="3">
        <f>Sheet1!D7</f>
        <v>1927</v>
      </c>
      <c r="E7" s="1" t="s">
        <v>697</v>
      </c>
      <c r="F7" s="3" t="str">
        <f>Sheet1!E7</f>
        <v/>
      </c>
      <c r="G7" s="1" t="s">
        <v>698</v>
      </c>
      <c r="H7" s="3">
        <f>IF(Sheet1!K7, 1, 0)
</f>
        <v>0</v>
      </c>
      <c r="I7" s="39" t="s">
        <v>699</v>
      </c>
      <c r="J7" s="3" t="str">
        <f>Sheet1!J7</f>
        <v>Inn</v>
      </c>
      <c r="K7" s="39" t="s">
        <v>700</v>
      </c>
      <c r="L7" s="3" t="str">
        <f>Sheet1!L7</f>
        <v/>
      </c>
      <c r="M7" s="39" t="s">
        <v>701</v>
      </c>
      <c r="N7" s="3" t="str">
        <f>Sheet1!B7</f>
        <v>barnes-camp</v>
      </c>
      <c r="O7" s="39" t="s">
        <v>702</v>
      </c>
    </row>
    <row r="8">
      <c r="A8" s="1" t="s">
        <v>695</v>
      </c>
      <c r="B8" s="3" t="str">
        <f>Sheet1!C8</f>
        <v>Barrows Camp</v>
      </c>
      <c r="C8" s="39" t="s">
        <v>696</v>
      </c>
      <c r="D8" s="3">
        <f>Sheet1!D8</f>
        <v>1931</v>
      </c>
      <c r="E8" s="1" t="s">
        <v>697</v>
      </c>
      <c r="F8" s="3">
        <f>Sheet1!E8</f>
        <v>1994</v>
      </c>
      <c r="G8" s="1" t="s">
        <v>698</v>
      </c>
      <c r="H8" s="3">
        <f>IF(Sheet1!K8, 1, 0)
</f>
        <v>1</v>
      </c>
      <c r="I8" s="39" t="s">
        <v>699</v>
      </c>
      <c r="J8" s="3" t="str">
        <f>Sheet1!J8</f>
        <v>Buchanan</v>
      </c>
      <c r="K8" s="39" t="s">
        <v>700</v>
      </c>
      <c r="L8" s="3" t="str">
        <f>Sheet1!L8</f>
        <v/>
      </c>
      <c r="M8" s="39" t="s">
        <v>701</v>
      </c>
      <c r="N8" s="3" t="str">
        <f>Sheet1!B8</f>
        <v>barrows-camp</v>
      </c>
      <c r="O8" s="39" t="s">
        <v>702</v>
      </c>
    </row>
    <row r="9">
      <c r="A9" s="1" t="s">
        <v>695</v>
      </c>
      <c r="B9" s="3" t="str">
        <f>Sheet1!C9</f>
        <v>Battell Lodge 1st</v>
      </c>
      <c r="C9" s="39" t="s">
        <v>696</v>
      </c>
      <c r="D9" s="3">
        <f>Sheet1!D9</f>
        <v>1899</v>
      </c>
      <c r="E9" s="1" t="s">
        <v>697</v>
      </c>
      <c r="F9" s="3">
        <f>Sheet1!E9</f>
        <v>1917</v>
      </c>
      <c r="G9" s="1" t="s">
        <v>698</v>
      </c>
      <c r="H9" s="3">
        <f>IF(Sheet1!K9, 1, 0)
</f>
        <v>0</v>
      </c>
      <c r="I9" s="39" t="s">
        <v>699</v>
      </c>
      <c r="J9" s="3" t="str">
        <f>Sheet1!J9</f>
        <v>Log Cabin</v>
      </c>
      <c r="K9" s="39" t="s">
        <v>700</v>
      </c>
      <c r="L9" s="3" t="str">
        <f>Sheet1!L9</f>
        <v/>
      </c>
      <c r="M9" s="39" t="s">
        <v>701</v>
      </c>
      <c r="N9" s="3" t="str">
        <f>Sheet1!B9</f>
        <v>battell-lodge-1</v>
      </c>
      <c r="O9" s="39" t="s">
        <v>702</v>
      </c>
    </row>
    <row r="10">
      <c r="A10" s="1" t="s">
        <v>695</v>
      </c>
      <c r="B10" s="3" t="str">
        <f>Sheet1!C10</f>
        <v>Battell Lodge 2nd</v>
      </c>
      <c r="C10" s="39" t="s">
        <v>696</v>
      </c>
      <c r="D10" s="3">
        <f>Sheet1!D10</f>
        <v>1926</v>
      </c>
      <c r="E10" s="1" t="s">
        <v>697</v>
      </c>
      <c r="F10" s="3">
        <f>Sheet1!E10</f>
        <v>1937</v>
      </c>
      <c r="G10" s="1" t="s">
        <v>698</v>
      </c>
      <c r="H10" s="3">
        <f>IF(Sheet1!K10, 1, 0)
</f>
        <v>1</v>
      </c>
      <c r="I10" s="39" t="s">
        <v>699</v>
      </c>
      <c r="J10" s="3" t="str">
        <f>Sheet1!J10</f>
        <v>Log Lean-To</v>
      </c>
      <c r="K10" s="39" t="s">
        <v>700</v>
      </c>
      <c r="L10" s="3" t="str">
        <f>Sheet1!L10</f>
        <v/>
      </c>
      <c r="M10" s="39" t="s">
        <v>701</v>
      </c>
      <c r="N10" s="3" t="str">
        <f>Sheet1!B10</f>
        <v>battell-lodge-2</v>
      </c>
      <c r="O10" s="39" t="s">
        <v>702</v>
      </c>
    </row>
    <row r="11">
      <c r="A11" s="1" t="s">
        <v>695</v>
      </c>
      <c r="B11" s="3" t="str">
        <f>Sheet1!C11</f>
        <v>Battell Shelter 1st</v>
      </c>
      <c r="C11" s="39" t="s">
        <v>696</v>
      </c>
      <c r="D11" s="3">
        <f>Sheet1!D11</f>
        <v>1938</v>
      </c>
      <c r="E11" s="1" t="s">
        <v>697</v>
      </c>
      <c r="F11" s="3">
        <f>Sheet1!E11</f>
        <v>1966</v>
      </c>
      <c r="G11" s="1" t="s">
        <v>698</v>
      </c>
      <c r="H11" s="3">
        <f>IF(Sheet1!K11, 1, 0)
</f>
        <v>1</v>
      </c>
      <c r="I11" s="39" t="s">
        <v>699</v>
      </c>
      <c r="J11" s="3" t="str">
        <f>Sheet1!J11</f>
        <v>Adirondak</v>
      </c>
      <c r="K11" s="39" t="s">
        <v>700</v>
      </c>
      <c r="L11" s="3" t="str">
        <f>Sheet1!L11</f>
        <v/>
      </c>
      <c r="M11" s="39" t="s">
        <v>701</v>
      </c>
      <c r="N11" s="3" t="str">
        <f>Sheet1!B11</f>
        <v>battell-shelter-1</v>
      </c>
      <c r="O11" s="39" t="s">
        <v>702</v>
      </c>
    </row>
    <row r="12">
      <c r="A12" s="1" t="s">
        <v>695</v>
      </c>
      <c r="B12" s="3" t="str">
        <f>Sheet1!C12</f>
        <v>Battell Shelter 2nd</v>
      </c>
      <c r="C12" s="39" t="s">
        <v>696</v>
      </c>
      <c r="D12" s="3">
        <f>Sheet1!D12</f>
        <v>1967</v>
      </c>
      <c r="E12" s="1" t="s">
        <v>697</v>
      </c>
      <c r="F12" s="3" t="str">
        <f>Sheet1!E12</f>
        <v/>
      </c>
      <c r="G12" s="1" t="s">
        <v>698</v>
      </c>
      <c r="H12" s="3">
        <f>IF(Sheet1!K12, 1, 0)
</f>
        <v>1</v>
      </c>
      <c r="I12" s="39" t="s">
        <v>699</v>
      </c>
      <c r="J12" s="3" t="str">
        <f>Sheet1!J12</f>
        <v>Wood Frame</v>
      </c>
      <c r="K12" s="39" t="s">
        <v>700</v>
      </c>
      <c r="L12" s="3" t="str">
        <f>Sheet1!L12</f>
        <v/>
      </c>
      <c r="M12" s="39" t="s">
        <v>701</v>
      </c>
      <c r="N12" s="3" t="str">
        <f>Sheet1!B12</f>
        <v>battell-shelter-2</v>
      </c>
      <c r="O12" s="39" t="s">
        <v>702</v>
      </c>
    </row>
    <row r="13">
      <c r="A13" s="1" t="s">
        <v>695</v>
      </c>
      <c r="B13" s="3" t="str">
        <f>Sheet1!C13</f>
        <v>Beane Farm</v>
      </c>
      <c r="C13" s="39" t="s">
        <v>696</v>
      </c>
      <c r="D13" s="3">
        <f>Sheet1!D13</f>
        <v>1917</v>
      </c>
      <c r="E13" s="1" t="s">
        <v>697</v>
      </c>
      <c r="F13" s="3">
        <f>Sheet1!E13</f>
        <v>1966</v>
      </c>
      <c r="G13" s="1" t="s">
        <v>698</v>
      </c>
      <c r="H13" s="3">
        <f>IF(Sheet1!K13, 1, 0)
</f>
        <v>0</v>
      </c>
      <c r="I13" s="39" t="s">
        <v>699</v>
      </c>
      <c r="J13" s="3" t="str">
        <f>Sheet1!J13</f>
        <v>Private Home</v>
      </c>
      <c r="K13" s="39" t="s">
        <v>700</v>
      </c>
      <c r="L13" s="3" t="str">
        <f>Sheet1!L13</f>
        <v/>
      </c>
      <c r="M13" s="39" t="s">
        <v>701</v>
      </c>
      <c r="N13" s="3" t="str">
        <f>Sheet1!B13</f>
        <v>beane-farm</v>
      </c>
      <c r="O13" s="39" t="s">
        <v>702</v>
      </c>
    </row>
    <row r="14">
      <c r="A14" s="1" t="s">
        <v>695</v>
      </c>
      <c r="B14" s="3" t="str">
        <f>Sheet1!C14</f>
        <v>Bear Hollow Shelter</v>
      </c>
      <c r="C14" s="39" t="s">
        <v>696</v>
      </c>
      <c r="D14" s="3">
        <f>Sheet1!D14</f>
        <v>1991</v>
      </c>
      <c r="E14" s="1" t="s">
        <v>697</v>
      </c>
      <c r="F14" s="3" t="str">
        <f>Sheet1!E14</f>
        <v/>
      </c>
      <c r="G14" s="1" t="s">
        <v>698</v>
      </c>
      <c r="H14" s="3">
        <f>IF(Sheet1!K14, 1, 0)
</f>
        <v>1</v>
      </c>
      <c r="I14" s="39" t="s">
        <v>699</v>
      </c>
      <c r="J14" s="3" t="str">
        <f>Sheet1!J14</f>
        <v>Wood Frame</v>
      </c>
      <c r="K14" s="39" t="s">
        <v>700</v>
      </c>
      <c r="L14" s="3" t="str">
        <f>Sheet1!L14</f>
        <v/>
      </c>
      <c r="M14" s="39" t="s">
        <v>701</v>
      </c>
      <c r="N14" s="3" t="str">
        <f>Sheet1!B14</f>
        <v>bear-hollow-shelter</v>
      </c>
      <c r="O14" s="39" t="s">
        <v>702</v>
      </c>
    </row>
    <row r="15">
      <c r="A15" s="1" t="s">
        <v>695</v>
      </c>
      <c r="B15" s="3" t="str">
        <f>Sheet1!C15</f>
        <v>Beaver Meadow Cabin</v>
      </c>
      <c r="C15" s="39" t="s">
        <v>696</v>
      </c>
      <c r="D15" s="3">
        <f>Sheet1!D15</f>
        <v>1917</v>
      </c>
      <c r="E15" s="1" t="s">
        <v>697</v>
      </c>
      <c r="F15" s="3">
        <f>Sheet1!E15</f>
        <v>1920</v>
      </c>
      <c r="G15" s="1" t="s">
        <v>698</v>
      </c>
      <c r="H15" s="3">
        <f>IF(Sheet1!K15, 1, 0)
</f>
        <v>0</v>
      </c>
      <c r="I15" s="39" t="s">
        <v>699</v>
      </c>
      <c r="J15" s="3" t="str">
        <f>Sheet1!J15</f>
        <v>Log Cabin</v>
      </c>
      <c r="K15" s="39" t="s">
        <v>700</v>
      </c>
      <c r="L15" s="3" t="str">
        <f>Sheet1!L15</f>
        <v>On Monroe Skyline near Mollys Starks Balcony, shown on Monroe Skyline Map at GMCHQ</v>
      </c>
      <c r="M15" s="39" t="s">
        <v>701</v>
      </c>
      <c r="N15" s="3" t="str">
        <f>Sheet1!B15</f>
        <v>beaver-meadow-cabin</v>
      </c>
      <c r="O15" s="39" t="s">
        <v>702</v>
      </c>
    </row>
    <row r="16">
      <c r="A16" s="1" t="s">
        <v>695</v>
      </c>
      <c r="B16" s="3" t="str">
        <f>Sheet1!C16</f>
        <v>Beaver Meadow Lodge</v>
      </c>
      <c r="C16" s="39" t="s">
        <v>696</v>
      </c>
      <c r="D16" s="3">
        <f>Sheet1!D16</f>
        <v>1947</v>
      </c>
      <c r="E16" s="1" t="s">
        <v>697</v>
      </c>
      <c r="F16" s="3" t="str">
        <f>Sheet1!E16</f>
        <v/>
      </c>
      <c r="G16" s="1" t="s">
        <v>698</v>
      </c>
      <c r="H16" s="3">
        <f>IF(Sheet1!K16, 1, 0)
</f>
        <v>1</v>
      </c>
      <c r="I16" s="39" t="s">
        <v>699</v>
      </c>
      <c r="J16" s="3" t="str">
        <f>Sheet1!J16</f>
        <v>Log Cabin</v>
      </c>
      <c r="K16" s="39" t="s">
        <v>700</v>
      </c>
      <c r="L16" s="3" t="str">
        <f>Sheet1!L16</f>
        <v/>
      </c>
      <c r="M16" s="39" t="s">
        <v>701</v>
      </c>
      <c r="N16" s="3" t="str">
        <f>Sheet1!B16</f>
        <v>beaver-meadow-lodge</v>
      </c>
      <c r="O16" s="39" t="s">
        <v>702</v>
      </c>
    </row>
    <row r="17">
      <c r="A17" s="1" t="s">
        <v>695</v>
      </c>
      <c r="B17" s="3" t="str">
        <f>Sheet1!C17</f>
        <v>Belvidere Mountain Foresters Cabin</v>
      </c>
      <c r="C17" s="39" t="s">
        <v>696</v>
      </c>
      <c r="D17" s="3" t="str">
        <f>Sheet1!D17</f>
        <v/>
      </c>
      <c r="E17" s="1" t="s">
        <v>697</v>
      </c>
      <c r="F17" s="3" t="str">
        <f>Sheet1!E17</f>
        <v/>
      </c>
      <c r="G17" s="1" t="s">
        <v>698</v>
      </c>
      <c r="H17" s="3">
        <f>IF(Sheet1!K17, 1, 0)
</f>
        <v>0</v>
      </c>
      <c r="I17" s="39" t="s">
        <v>699</v>
      </c>
      <c r="J17" s="3" t="str">
        <f>Sheet1!J17</f>
        <v/>
      </c>
      <c r="K17" s="39" t="s">
        <v>700</v>
      </c>
      <c r="L17" s="3" t="str">
        <f>Sheet1!L17</f>
        <v/>
      </c>
      <c r="M17" s="39" t="s">
        <v>701</v>
      </c>
      <c r="N17" s="3" t="str">
        <f>Sheet1!B17</f>
        <v>belvidere-mountain-foresters-cabin</v>
      </c>
      <c r="O17" s="39" t="s">
        <v>702</v>
      </c>
    </row>
    <row r="18">
      <c r="A18" s="1" t="s">
        <v>695</v>
      </c>
      <c r="B18" s="3" t="str">
        <f>Sheet1!C18</f>
        <v>Big Branch Shelter</v>
      </c>
      <c r="C18" s="39" t="s">
        <v>696</v>
      </c>
      <c r="D18" s="3">
        <f>Sheet1!D18</f>
        <v>1963</v>
      </c>
      <c r="E18" s="1" t="s">
        <v>697</v>
      </c>
      <c r="F18" s="3" t="str">
        <f>Sheet1!E18</f>
        <v/>
      </c>
      <c r="G18" s="1" t="s">
        <v>698</v>
      </c>
      <c r="H18" s="3">
        <f>IF(Sheet1!K18, 1, 0)
</f>
        <v>1</v>
      </c>
      <c r="I18" s="39" t="s">
        <v>699</v>
      </c>
      <c r="J18" s="3" t="str">
        <f>Sheet1!J18</f>
        <v>Wood Frame</v>
      </c>
      <c r="K18" s="39" t="s">
        <v>700</v>
      </c>
      <c r="L18" s="3" t="str">
        <f>Sheet1!L18</f>
        <v/>
      </c>
      <c r="M18" s="39" t="s">
        <v>701</v>
      </c>
      <c r="N18" s="3" t="str">
        <f>Sheet1!B18</f>
        <v>big-branch-shelter</v>
      </c>
      <c r="O18" s="39" t="s">
        <v>702</v>
      </c>
    </row>
    <row r="19">
      <c r="A19" s="1" t="s">
        <v>695</v>
      </c>
      <c r="B19" s="3" t="str">
        <f>Sheet1!C19</f>
        <v>Bigelow Shelter</v>
      </c>
      <c r="C19" s="39" t="s">
        <v>696</v>
      </c>
      <c r="D19" s="3">
        <f>Sheet1!D19</f>
        <v>1961</v>
      </c>
      <c r="E19" s="1" t="s">
        <v>697</v>
      </c>
      <c r="F19" s="3">
        <f>Sheet1!E19</f>
        <v>1997</v>
      </c>
      <c r="G19" s="1" t="s">
        <v>698</v>
      </c>
      <c r="H19" s="3">
        <f>IF(Sheet1!K19, 1, 0)
</f>
        <v>1</v>
      </c>
      <c r="I19" s="39" t="s">
        <v>699</v>
      </c>
      <c r="J19" s="3" t="str">
        <f>Sheet1!J19</f>
        <v/>
      </c>
      <c r="K19" s="39" t="s">
        <v>700</v>
      </c>
      <c r="L19" s="3" t="str">
        <f>Sheet1!L19</f>
        <v/>
      </c>
      <c r="M19" s="39" t="s">
        <v>701</v>
      </c>
      <c r="N19" s="3" t="str">
        <f>Sheet1!B19</f>
        <v>bigelow-shelter</v>
      </c>
      <c r="O19" s="39" t="s">
        <v>702</v>
      </c>
    </row>
    <row r="20">
      <c r="A20" s="1" t="s">
        <v>695</v>
      </c>
      <c r="B20" s="3" t="str">
        <f>Sheet1!C20</f>
        <v>Birch Glen Camp</v>
      </c>
      <c r="C20" s="39" t="s">
        <v>696</v>
      </c>
      <c r="D20" s="3">
        <f>Sheet1!D20</f>
        <v>1930</v>
      </c>
      <c r="E20" s="1" t="s">
        <v>697</v>
      </c>
      <c r="F20" s="3" t="str">
        <f>Sheet1!E20</f>
        <v/>
      </c>
      <c r="G20" s="1" t="s">
        <v>698</v>
      </c>
      <c r="H20" s="3">
        <f>IF(Sheet1!K20, 1, 0)
</f>
        <v>1</v>
      </c>
      <c r="I20" s="39" t="s">
        <v>699</v>
      </c>
      <c r="J20" s="3" t="str">
        <f>Sheet1!J20</f>
        <v/>
      </c>
      <c r="K20" s="39" t="s">
        <v>700</v>
      </c>
      <c r="L20" s="3" t="str">
        <f>Sheet1!L20</f>
        <v/>
      </c>
      <c r="M20" s="39" t="s">
        <v>701</v>
      </c>
      <c r="N20" s="3" t="str">
        <f>Sheet1!B20</f>
        <v>birch-glen-camp</v>
      </c>
      <c r="O20" s="39" t="s">
        <v>702</v>
      </c>
    </row>
    <row r="21">
      <c r="A21" s="1" t="s">
        <v>695</v>
      </c>
      <c r="B21" s="3" t="str">
        <f>Sheet1!C21</f>
        <v>Birch Glen Lodge</v>
      </c>
      <c r="C21" s="39" t="s">
        <v>696</v>
      </c>
      <c r="D21" s="3">
        <f>Sheet1!D21</f>
        <v>1913</v>
      </c>
      <c r="E21" s="1" t="s">
        <v>697</v>
      </c>
      <c r="F21" s="3">
        <f>Sheet1!E21</f>
        <v>1930</v>
      </c>
      <c r="G21" s="1" t="s">
        <v>698</v>
      </c>
      <c r="H21" s="3">
        <f>IF(Sheet1!K21, 1, 0)
</f>
        <v>1</v>
      </c>
      <c r="I21" s="39" t="s">
        <v>699</v>
      </c>
      <c r="J21" s="3" t="str">
        <f>Sheet1!J21</f>
        <v/>
      </c>
      <c r="K21" s="39" t="s">
        <v>700</v>
      </c>
      <c r="L21" s="3" t="str">
        <f>Sheet1!L21</f>
        <v/>
      </c>
      <c r="M21" s="39" t="s">
        <v>701</v>
      </c>
      <c r="N21" s="3" t="str">
        <f>Sheet1!B21</f>
        <v>birch-glen-lodge</v>
      </c>
      <c r="O21" s="39" t="s">
        <v>702</v>
      </c>
    </row>
    <row r="22">
      <c r="A22" s="1" t="s">
        <v>695</v>
      </c>
      <c r="B22" s="3" t="str">
        <f>Sheet1!C22</f>
        <v>Blowdown Camp</v>
      </c>
      <c r="C22" s="39" t="s">
        <v>696</v>
      </c>
      <c r="D22" s="3">
        <f>Sheet1!D22</f>
        <v>1924</v>
      </c>
      <c r="E22" s="1" t="s">
        <v>697</v>
      </c>
      <c r="F22" s="3">
        <f>Sheet1!E22</f>
        <v>1929</v>
      </c>
      <c r="G22" s="1" t="s">
        <v>698</v>
      </c>
      <c r="H22" s="3">
        <f>IF(Sheet1!K22, 1, 0)
</f>
        <v>0</v>
      </c>
      <c r="I22" s="39" t="s">
        <v>699</v>
      </c>
      <c r="J22" s="3" t="str">
        <f>Sheet1!J22</f>
        <v>Lumber Camp</v>
      </c>
      <c r="K22" s="39" t="s">
        <v>700</v>
      </c>
      <c r="L22" s="3" t="str">
        <f>Sheet1!L22</f>
        <v>Loggers</v>
      </c>
      <c r="M22" s="39" t="s">
        <v>701</v>
      </c>
      <c r="N22" s="3" t="str">
        <f>Sheet1!B22</f>
        <v>blowdown-camp</v>
      </c>
      <c r="O22" s="39" t="s">
        <v>702</v>
      </c>
    </row>
    <row r="23">
      <c r="A23" s="1" t="s">
        <v>695</v>
      </c>
      <c r="B23" s="3" t="str">
        <f>Sheet1!C23</f>
        <v>Blue Triangle Camp</v>
      </c>
      <c r="C23" s="39" t="s">
        <v>696</v>
      </c>
      <c r="D23" s="3">
        <f>Sheet1!D23</f>
        <v>1930</v>
      </c>
      <c r="E23" s="1" t="s">
        <v>697</v>
      </c>
      <c r="F23" s="3">
        <f>Sheet1!E23</f>
        <v>1949</v>
      </c>
      <c r="G23" s="1" t="s">
        <v>698</v>
      </c>
      <c r="H23" s="3">
        <f>IF(Sheet1!K23, 1, 0)
</f>
        <v>1</v>
      </c>
      <c r="I23" s="39" t="s">
        <v>699</v>
      </c>
      <c r="J23" s="3" t="str">
        <f>Sheet1!J23</f>
        <v>YMCA Canp</v>
      </c>
      <c r="K23" s="39" t="s">
        <v>700</v>
      </c>
      <c r="L23" s="3" t="str">
        <f>Sheet1!L23</f>
        <v/>
      </c>
      <c r="M23" s="39" t="s">
        <v>701</v>
      </c>
      <c r="N23" s="3" t="str">
        <f>Sheet1!B23</f>
        <v>blue-triangle-camp</v>
      </c>
      <c r="O23" s="39" t="s">
        <v>702</v>
      </c>
    </row>
    <row r="24">
      <c r="A24" s="1" t="s">
        <v>695</v>
      </c>
      <c r="B24" s="3" t="str">
        <f>Sheet1!C24</f>
        <v>Bolton Lodge</v>
      </c>
      <c r="C24" s="39" t="s">
        <v>696</v>
      </c>
      <c r="D24" s="3">
        <f>Sheet1!D24</f>
        <v>1928</v>
      </c>
      <c r="E24" s="1" t="s">
        <v>697</v>
      </c>
      <c r="F24" s="3" t="str">
        <f>Sheet1!E24</f>
        <v/>
      </c>
      <c r="G24" s="1" t="s">
        <v>698</v>
      </c>
      <c r="H24" s="3">
        <f>IF(Sheet1!K24, 1, 0)
</f>
        <v>1</v>
      </c>
      <c r="I24" s="39" t="s">
        <v>699</v>
      </c>
      <c r="J24" s="3" t="str">
        <f>Sheet1!J24</f>
        <v>Stone</v>
      </c>
      <c r="K24" s="39" t="s">
        <v>700</v>
      </c>
      <c r="L24" s="3" t="str">
        <f>Sheet1!L24</f>
        <v/>
      </c>
      <c r="M24" s="39" t="s">
        <v>701</v>
      </c>
      <c r="N24" s="3" t="str">
        <f>Sheet1!B24</f>
        <v>bolton-lodge</v>
      </c>
      <c r="O24" s="39" t="s">
        <v>702</v>
      </c>
    </row>
    <row r="25">
      <c r="A25" s="1" t="s">
        <v>695</v>
      </c>
      <c r="B25" s="3" t="str">
        <f>Sheet1!C25</f>
        <v>Bourn Pond Camp</v>
      </c>
      <c r="C25" s="39" t="s">
        <v>696</v>
      </c>
      <c r="D25" s="3" t="str">
        <f>Sheet1!D25</f>
        <v/>
      </c>
      <c r="E25" s="1" t="s">
        <v>697</v>
      </c>
      <c r="F25" s="3" t="str">
        <f>Sheet1!E25</f>
        <v/>
      </c>
      <c r="G25" s="1" t="s">
        <v>698</v>
      </c>
      <c r="H25" s="3">
        <f>IF(Sheet1!K25, 1, 0)
</f>
        <v>0</v>
      </c>
      <c r="I25" s="39" t="s">
        <v>699</v>
      </c>
      <c r="J25" s="3" t="str">
        <f>Sheet1!J25</f>
        <v> </v>
      </c>
      <c r="K25" s="39" t="s">
        <v>700</v>
      </c>
      <c r="L25" s="3" t="str">
        <f>Sheet1!L25</f>
        <v/>
      </c>
      <c r="M25" s="39" t="s">
        <v>701</v>
      </c>
      <c r="N25" s="3" t="str">
        <f>Sheet1!B25</f>
        <v>bourn-pond-camp</v>
      </c>
      <c r="O25" s="39" t="s">
        <v>702</v>
      </c>
    </row>
    <row r="26">
      <c r="A26" s="1" t="s">
        <v>695</v>
      </c>
      <c r="B26" s="3" t="str">
        <f>Sheet1!C26</f>
        <v>North Bourn Pond Shelter</v>
      </c>
      <c r="C26" s="39" t="s">
        <v>696</v>
      </c>
      <c r="D26" s="3">
        <f>Sheet1!D26</f>
        <v>1965</v>
      </c>
      <c r="E26" s="1" t="s">
        <v>697</v>
      </c>
      <c r="F26" s="3">
        <f>Sheet1!E26</f>
        <v>1983</v>
      </c>
      <c r="G26" s="1" t="s">
        <v>698</v>
      </c>
      <c r="H26" s="3">
        <f>IF(Sheet1!K26, 1, 0)
</f>
        <v>1</v>
      </c>
      <c r="I26" s="39" t="s">
        <v>699</v>
      </c>
      <c r="J26" s="3" t="str">
        <f>Sheet1!J26</f>
        <v>Wooden Frame Shelter</v>
      </c>
      <c r="K26" s="39" t="s">
        <v>700</v>
      </c>
      <c r="L26" s="3" t="str">
        <f>Sheet1!L26</f>
        <v>NBP Tenting area replaced shelter until 2011 GB</v>
      </c>
      <c r="M26" s="39" t="s">
        <v>701</v>
      </c>
      <c r="N26" s="3" t="str">
        <f>Sheet1!B26</f>
        <v>bourn-pond-shelter-north</v>
      </c>
      <c r="O26" s="39" t="s">
        <v>702</v>
      </c>
    </row>
    <row r="27">
      <c r="A27" s="1" t="s">
        <v>695</v>
      </c>
      <c r="B27" s="3" t="str">
        <f>Sheet1!C27</f>
        <v>South Bourn Pond Shelter</v>
      </c>
      <c r="C27" s="39" t="s">
        <v>696</v>
      </c>
      <c r="D27" s="3">
        <f>Sheet1!D27</f>
        <v>1957</v>
      </c>
      <c r="E27" s="1" t="s">
        <v>697</v>
      </c>
      <c r="F27" s="3">
        <f>Sheet1!E27</f>
        <v>2005</v>
      </c>
      <c r="G27" s="1" t="s">
        <v>698</v>
      </c>
      <c r="H27" s="3">
        <f>IF(Sheet1!K27, 1, 0)
</f>
        <v>1</v>
      </c>
      <c r="I27" s="39" t="s">
        <v>699</v>
      </c>
      <c r="J27" s="3" t="str">
        <f>Sheet1!J27</f>
        <v>Log Shelter</v>
      </c>
      <c r="K27" s="39" t="s">
        <v>700</v>
      </c>
      <c r="L27" s="3" t="str">
        <f>Sheet1!L27</f>
        <v>Reconstructed from  log fishing camps by Putney Summer Work Camp</v>
      </c>
      <c r="M27" s="39" t="s">
        <v>701</v>
      </c>
      <c r="N27" s="3" t="str">
        <f>Sheet1!B27</f>
        <v>bourn-pond-shelter-south</v>
      </c>
      <c r="O27" s="39" t="s">
        <v>702</v>
      </c>
    </row>
    <row r="28">
      <c r="A28" s="1" t="s">
        <v>695</v>
      </c>
      <c r="B28" s="3" t="str">
        <f>Sheet1!C28</f>
        <v>Bourn Pond Tenting Areas</v>
      </c>
      <c r="C28" s="39" t="s">
        <v>696</v>
      </c>
      <c r="D28" s="3">
        <f>Sheet1!D28</f>
        <v>1983</v>
      </c>
      <c r="E28" s="1" t="s">
        <v>697</v>
      </c>
      <c r="F28" s="3" t="str">
        <f>Sheet1!E28</f>
        <v/>
      </c>
      <c r="G28" s="1" t="s">
        <v>698</v>
      </c>
      <c r="H28" s="3">
        <f>IF(Sheet1!K28, 1, 0)
</f>
        <v>1</v>
      </c>
      <c r="I28" s="39" t="s">
        <v>699</v>
      </c>
      <c r="J28" s="3" t="str">
        <f>Sheet1!J28</f>
        <v>Tenting Area</v>
      </c>
      <c r="K28" s="39" t="s">
        <v>700</v>
      </c>
      <c r="L28" s="3" t="str">
        <f>Sheet1!L28</f>
        <v/>
      </c>
      <c r="M28" s="39" t="s">
        <v>701</v>
      </c>
      <c r="N28" s="3" t="str">
        <f>Sheet1!B28</f>
        <v>bourn-pond-tenting-areas</v>
      </c>
      <c r="O28" s="39" t="s">
        <v>702</v>
      </c>
    </row>
    <row r="29">
      <c r="A29" s="1" t="s">
        <v>695</v>
      </c>
      <c r="B29" s="3" t="str">
        <f>Sheet1!C29</f>
        <v>Boyce Shelter 1st</v>
      </c>
      <c r="C29" s="39" t="s">
        <v>696</v>
      </c>
      <c r="D29" s="3">
        <f>Sheet1!D29</f>
        <v>1926</v>
      </c>
      <c r="E29" s="1" t="s">
        <v>697</v>
      </c>
      <c r="F29" s="3">
        <f>Sheet1!E29</f>
        <v>1941</v>
      </c>
      <c r="G29" s="1" t="s">
        <v>698</v>
      </c>
      <c r="H29" s="3">
        <f>IF(Sheet1!K29, 1, 0)
</f>
        <v>1</v>
      </c>
      <c r="I29" s="39" t="s">
        <v>699</v>
      </c>
      <c r="J29" s="3" t="str">
        <f>Sheet1!J29</f>
        <v>Log Lean-To</v>
      </c>
      <c r="K29" s="39" t="s">
        <v>700</v>
      </c>
      <c r="L29" s="3" t="str">
        <f>Sheet1!L29</f>
        <v/>
      </c>
      <c r="M29" s="39" t="s">
        <v>701</v>
      </c>
      <c r="N29" s="3" t="str">
        <f>Sheet1!B29</f>
        <v>boyce-shelter-1</v>
      </c>
      <c r="O29" s="39" t="s">
        <v>702</v>
      </c>
    </row>
    <row r="30">
      <c r="A30" s="1" t="s">
        <v>695</v>
      </c>
      <c r="B30" s="3" t="str">
        <f>Sheet1!C30</f>
        <v>Boyce Shelter 2nd</v>
      </c>
      <c r="C30" s="39" t="s">
        <v>696</v>
      </c>
      <c r="D30" s="3">
        <f>Sheet1!D30</f>
        <v>1941</v>
      </c>
      <c r="E30" s="1" t="s">
        <v>697</v>
      </c>
      <c r="F30" s="3">
        <f>Sheet1!E30</f>
        <v>1963</v>
      </c>
      <c r="G30" s="1" t="s">
        <v>698</v>
      </c>
      <c r="H30" s="3">
        <f>IF(Sheet1!K30, 1, 0)
</f>
        <v>1</v>
      </c>
      <c r="I30" s="39" t="s">
        <v>699</v>
      </c>
      <c r="J30" s="3" t="str">
        <f>Sheet1!J30</f>
        <v>Adirondak</v>
      </c>
      <c r="K30" s="39" t="s">
        <v>700</v>
      </c>
      <c r="L30" s="3" t="str">
        <f>Sheet1!L30</f>
        <v/>
      </c>
      <c r="M30" s="39" t="s">
        <v>701</v>
      </c>
      <c r="N30" s="3" t="str">
        <f>Sheet1!B30</f>
        <v>boyce-shelter-2</v>
      </c>
      <c r="O30" s="39" t="s">
        <v>702</v>
      </c>
    </row>
    <row r="31">
      <c r="A31" s="1" t="s">
        <v>695</v>
      </c>
      <c r="B31" s="3" t="str">
        <f>Sheet1!C31</f>
        <v>Boyce Shelter 3rd</v>
      </c>
      <c r="C31" s="39" t="s">
        <v>696</v>
      </c>
      <c r="D31" s="3">
        <f>Sheet1!D31</f>
        <v>1963</v>
      </c>
      <c r="E31" s="1" t="s">
        <v>697</v>
      </c>
      <c r="F31" s="3" t="str">
        <f>Sheet1!E31</f>
        <v/>
      </c>
      <c r="G31" s="1" t="s">
        <v>698</v>
      </c>
      <c r="H31" s="3">
        <f>IF(Sheet1!K31, 1, 0)
</f>
        <v>1</v>
      </c>
      <c r="I31" s="39" t="s">
        <v>699</v>
      </c>
      <c r="J31" s="3" t="str">
        <f>Sheet1!J31</f>
        <v>Wood Frame</v>
      </c>
      <c r="K31" s="39" t="s">
        <v>700</v>
      </c>
      <c r="L31" s="3" t="str">
        <f>Sheet1!L31</f>
        <v/>
      </c>
      <c r="M31" s="39" t="s">
        <v>701</v>
      </c>
      <c r="N31" s="3" t="str">
        <f>Sheet1!B31</f>
        <v>boyce-shelter-3</v>
      </c>
      <c r="O31" s="39" t="s">
        <v>702</v>
      </c>
    </row>
    <row r="32">
      <c r="A32" s="1" t="s">
        <v>695</v>
      </c>
      <c r="B32" s="3" t="str">
        <f>Sheet1!C32</f>
        <v>Bread Loaf Inn</v>
      </c>
      <c r="C32" s="39" t="s">
        <v>696</v>
      </c>
      <c r="D32" s="3">
        <f>Sheet1!D32</f>
        <v>1861</v>
      </c>
      <c r="E32" s="1" t="s">
        <v>697</v>
      </c>
      <c r="F32" s="3" t="str">
        <f>Sheet1!E32</f>
        <v/>
      </c>
      <c r="G32" s="1" t="s">
        <v>698</v>
      </c>
      <c r="H32" s="3">
        <f>IF(Sheet1!K32, 1, 0)
</f>
        <v>0</v>
      </c>
      <c r="I32" s="39" t="s">
        <v>699</v>
      </c>
      <c r="J32" s="3" t="str">
        <f>Sheet1!J32</f>
        <v>Inn</v>
      </c>
      <c r="K32" s="39" t="s">
        <v>700</v>
      </c>
      <c r="L32" s="3" t="str">
        <f>Sheet1!L32</f>
        <v/>
      </c>
      <c r="M32" s="39" t="s">
        <v>701</v>
      </c>
      <c r="N32" s="3" t="str">
        <f>Sheet1!B32</f>
        <v>bread-loaf-inn</v>
      </c>
      <c r="O32" s="39" t="s">
        <v>702</v>
      </c>
    </row>
    <row r="33">
      <c r="A33" s="1" t="s">
        <v>695</v>
      </c>
      <c r="B33" s="3" t="str">
        <f>Sheet1!C33</f>
        <v>Bread Loaf Shelter</v>
      </c>
      <c r="C33" s="39" t="s">
        <v>696</v>
      </c>
      <c r="D33" s="3">
        <f>Sheet1!D33</f>
        <v>1931</v>
      </c>
      <c r="E33" s="1" t="s">
        <v>697</v>
      </c>
      <c r="F33" s="3">
        <f>Sheet1!E33</f>
        <v>1960</v>
      </c>
      <c r="G33" s="1" t="s">
        <v>698</v>
      </c>
      <c r="H33" s="3">
        <f>IF(Sheet1!K33, 1, 0)
</f>
        <v>1</v>
      </c>
      <c r="I33" s="39" t="s">
        <v>699</v>
      </c>
      <c r="J33" s="3" t="str">
        <f>Sheet1!J33</f>
        <v>Log Lean-To</v>
      </c>
      <c r="K33" s="39" t="s">
        <v>700</v>
      </c>
      <c r="L33" s="3" t="str">
        <f>Sheet1!L33</f>
        <v/>
      </c>
      <c r="M33" s="39" t="s">
        <v>701</v>
      </c>
      <c r="N33" s="3" t="str">
        <f>Sheet1!B33</f>
        <v>bread-loaf-shelter</v>
      </c>
      <c r="O33" s="39" t="s">
        <v>702</v>
      </c>
    </row>
    <row r="34">
      <c r="A34" s="1" t="s">
        <v>695</v>
      </c>
      <c r="B34" s="3" t="str">
        <f>Sheet1!C34</f>
        <v>Bromley Camp</v>
      </c>
      <c r="C34" s="39" t="s">
        <v>696</v>
      </c>
      <c r="D34" s="3">
        <f>Sheet1!D34</f>
        <v>1955</v>
      </c>
      <c r="E34" s="1" t="s">
        <v>697</v>
      </c>
      <c r="F34" s="3">
        <f>Sheet1!E34</f>
        <v>1984</v>
      </c>
      <c r="G34" s="1" t="s">
        <v>698</v>
      </c>
      <c r="H34" s="3">
        <f>IF(Sheet1!K34, 1, 0)
</f>
        <v>1</v>
      </c>
      <c r="I34" s="39" t="s">
        <v>699</v>
      </c>
      <c r="J34" s="3" t="str">
        <f>Sheet1!J34</f>
        <v>Buchanan</v>
      </c>
      <c r="K34" s="39" t="s">
        <v>700</v>
      </c>
      <c r="L34" s="3" t="str">
        <f>Sheet1!L34</f>
        <v/>
      </c>
      <c r="M34" s="39" t="s">
        <v>701</v>
      </c>
      <c r="N34" s="3" t="str">
        <f>Sheet1!B34</f>
        <v>bromley-camp</v>
      </c>
      <c r="O34" s="39" t="s">
        <v>702</v>
      </c>
    </row>
    <row r="35">
      <c r="A35" s="1" t="s">
        <v>695</v>
      </c>
      <c r="B35" s="3" t="str">
        <f>Sheet1!C35</f>
        <v>Bromley Lodge</v>
      </c>
      <c r="C35" s="39" t="s">
        <v>696</v>
      </c>
      <c r="D35" s="3">
        <f>Sheet1!D35</f>
        <v>1933</v>
      </c>
      <c r="E35" s="1" t="s">
        <v>697</v>
      </c>
      <c r="F35" s="3">
        <f>Sheet1!E35</f>
        <v>1951</v>
      </c>
      <c r="G35" s="1" t="s">
        <v>698</v>
      </c>
      <c r="H35" s="3">
        <f>IF(Sheet1!K35, 1, 0)
</f>
        <v>1</v>
      </c>
      <c r="I35" s="39" t="s">
        <v>699</v>
      </c>
      <c r="J35" s="3" t="str">
        <f>Sheet1!J35</f>
        <v/>
      </c>
      <c r="K35" s="39" t="s">
        <v>700</v>
      </c>
      <c r="L35" s="3" t="str">
        <f>Sheet1!L35</f>
        <v/>
      </c>
      <c r="M35" s="39" t="s">
        <v>701</v>
      </c>
      <c r="N35" s="3" t="str">
        <f>Sheet1!B35</f>
        <v>bromley-lodge</v>
      </c>
      <c r="O35" s="39" t="s">
        <v>702</v>
      </c>
    </row>
    <row r="36">
      <c r="A36" s="1" t="s">
        <v>695</v>
      </c>
      <c r="B36" s="3" t="str">
        <f>Sheet1!C36</f>
        <v>Bromley Shelter</v>
      </c>
      <c r="C36" s="39" t="s">
        <v>696</v>
      </c>
      <c r="D36" s="3">
        <f>Sheet1!D36</f>
        <v>2003</v>
      </c>
      <c r="E36" s="1" t="s">
        <v>697</v>
      </c>
      <c r="F36" s="3" t="str">
        <f>Sheet1!E36</f>
        <v/>
      </c>
      <c r="G36" s="1" t="s">
        <v>698</v>
      </c>
      <c r="H36" s="3">
        <f>IF(Sheet1!K36, 1, 0)
</f>
        <v>1</v>
      </c>
      <c r="I36" s="39" t="s">
        <v>699</v>
      </c>
      <c r="J36" s="3" t="str">
        <f>Sheet1!J36</f>
        <v>Post and Beam</v>
      </c>
      <c r="K36" s="39" t="s">
        <v>700</v>
      </c>
      <c r="L36" s="3" t="str">
        <f>Sheet1!L36</f>
        <v>Erik and Laurel Tobiason</v>
      </c>
      <c r="M36" s="39" t="s">
        <v>701</v>
      </c>
      <c r="N36" s="3" t="str">
        <f>Sheet1!B36</f>
        <v>bromley-shelter</v>
      </c>
      <c r="O36" s="39" t="s">
        <v>702</v>
      </c>
    </row>
    <row r="37">
      <c r="A37" s="1" t="s">
        <v>695</v>
      </c>
      <c r="B37" s="3" t="str">
        <f>Sheet1!C37</f>
        <v>Bromley Tenting Area</v>
      </c>
      <c r="C37" s="39" t="s">
        <v>696</v>
      </c>
      <c r="D37" s="3">
        <f>Sheet1!D37</f>
        <v>1985</v>
      </c>
      <c r="E37" s="1" t="s">
        <v>697</v>
      </c>
      <c r="F37" s="3">
        <f>Sheet1!E37</f>
        <v>2003</v>
      </c>
      <c r="G37" s="1" t="s">
        <v>698</v>
      </c>
      <c r="H37" s="3">
        <f>IF(Sheet1!K37, 1, 0)
</f>
        <v>1</v>
      </c>
      <c r="I37" s="39" t="s">
        <v>699</v>
      </c>
      <c r="J37" s="3" t="str">
        <f>Sheet1!J37</f>
        <v>Tenting Area</v>
      </c>
      <c r="K37" s="39" t="s">
        <v>700</v>
      </c>
      <c r="L37" s="3" t="str">
        <f>Sheet1!L37</f>
        <v/>
      </c>
      <c r="M37" s="39" t="s">
        <v>701</v>
      </c>
      <c r="N37" s="3" t="str">
        <f>Sheet1!B37</f>
        <v>bromley-tenting-area</v>
      </c>
      <c r="O37" s="39" t="s">
        <v>702</v>
      </c>
    </row>
    <row r="38">
      <c r="A38" s="1" t="s">
        <v>695</v>
      </c>
      <c r="B38" s="3" t="str">
        <f>Sheet1!C38</f>
        <v>Brush's Farm</v>
      </c>
      <c r="C38" s="39" t="s">
        <v>696</v>
      </c>
      <c r="D38" s="3" t="str">
        <f>Sheet1!D38</f>
        <v/>
      </c>
      <c r="E38" s="1" t="s">
        <v>697</v>
      </c>
      <c r="F38" s="3">
        <f>Sheet1!E38</f>
        <v>1928</v>
      </c>
      <c r="G38" s="1" t="s">
        <v>698</v>
      </c>
      <c r="H38" s="3">
        <f>IF(Sheet1!K38, 1, 0)
</f>
        <v>0</v>
      </c>
      <c r="I38" s="39" t="s">
        <v>699</v>
      </c>
      <c r="J38" s="3" t="str">
        <f>Sheet1!J38</f>
        <v>Private Home</v>
      </c>
      <c r="K38" s="39" t="s">
        <v>700</v>
      </c>
      <c r="L38" s="3" t="str">
        <f>Sheet1!L38</f>
        <v/>
      </c>
      <c r="M38" s="39" t="s">
        <v>701</v>
      </c>
      <c r="N38" s="3" t="str">
        <f>Sheet1!B38</f>
        <v>brushs-farm</v>
      </c>
      <c r="O38" s="39" t="s">
        <v>702</v>
      </c>
    </row>
    <row r="39">
      <c r="A39" s="1" t="s">
        <v>695</v>
      </c>
      <c r="B39" s="3" t="str">
        <f>Sheet1!C39</f>
        <v>Bryant Cabin</v>
      </c>
      <c r="C39" s="39" t="s">
        <v>696</v>
      </c>
      <c r="D39" s="3">
        <f>Sheet1!D39</f>
        <v>1930</v>
      </c>
      <c r="E39" s="1" t="s">
        <v>697</v>
      </c>
      <c r="F39" s="3" t="str">
        <f>Sheet1!E39</f>
        <v/>
      </c>
      <c r="G39" s="1" t="s">
        <v>698</v>
      </c>
      <c r="H39" s="3">
        <f>IF(Sheet1!K39, 1, 0)
</f>
        <v>1</v>
      </c>
      <c r="I39" s="39" t="s">
        <v>699</v>
      </c>
      <c r="J39" s="3" t="str">
        <f>Sheet1!J39</f>
        <v/>
      </c>
      <c r="K39" s="39" t="s">
        <v>700</v>
      </c>
      <c r="L39" s="3" t="str">
        <f>Sheet1!L39</f>
        <v/>
      </c>
      <c r="M39" s="39" t="s">
        <v>701</v>
      </c>
      <c r="N39" s="3" t="str">
        <f>Sheet1!B39</f>
        <v>bryant-cabin</v>
      </c>
      <c r="O39" s="39" t="s">
        <v>702</v>
      </c>
    </row>
    <row r="40">
      <c r="A40" s="1" t="s">
        <v>695</v>
      </c>
      <c r="B40" s="3" t="str">
        <f>Sheet1!C40</f>
        <v>Buchanan Lodge</v>
      </c>
      <c r="C40" s="39" t="s">
        <v>696</v>
      </c>
      <c r="D40" s="3">
        <f>Sheet1!D40</f>
        <v>1964</v>
      </c>
      <c r="E40" s="1" t="s">
        <v>697</v>
      </c>
      <c r="F40" s="3">
        <f>Sheet1!E40</f>
        <v>1978</v>
      </c>
      <c r="G40" s="1" t="s">
        <v>698</v>
      </c>
      <c r="H40" s="3">
        <f>IF(Sheet1!K40, 1, 0)
</f>
        <v>1</v>
      </c>
      <c r="I40" s="39" t="s">
        <v>699</v>
      </c>
      <c r="J40" s="3" t="str">
        <f>Sheet1!J40</f>
        <v>Frame cabin</v>
      </c>
      <c r="K40" s="39" t="s">
        <v>700</v>
      </c>
      <c r="L40" s="3" t="str">
        <f>Sheet1!L40</f>
        <v/>
      </c>
      <c r="M40" s="39" t="s">
        <v>701</v>
      </c>
      <c r="N40" s="3" t="str">
        <f>Sheet1!B40</f>
        <v>buchanan-lodge</v>
      </c>
      <c r="O40" s="39" t="s">
        <v>702</v>
      </c>
    </row>
    <row r="41">
      <c r="A41" s="1" t="s">
        <v>695</v>
      </c>
      <c r="B41" s="3" t="str">
        <f>Sheet1!C41</f>
        <v>Buchanan Shelter</v>
      </c>
      <c r="C41" s="39" t="s">
        <v>696</v>
      </c>
      <c r="D41" s="3">
        <f>Sheet1!D41</f>
        <v>1984</v>
      </c>
      <c r="E41" s="1" t="s">
        <v>697</v>
      </c>
      <c r="F41" s="3" t="str">
        <f>Sheet1!E41</f>
        <v/>
      </c>
      <c r="G41" s="1" t="s">
        <v>698</v>
      </c>
      <c r="H41" s="3">
        <f>IF(Sheet1!K41, 1, 0)
</f>
        <v>1</v>
      </c>
      <c r="I41" s="39" t="s">
        <v>699</v>
      </c>
      <c r="J41" s="3" t="str">
        <f>Sheet1!J41</f>
        <v>Open porch/enclosed bunkroom</v>
      </c>
      <c r="K41" s="39" t="s">
        <v>700</v>
      </c>
      <c r="L41" s="3" t="str">
        <f>Sheet1!L41</f>
        <v/>
      </c>
      <c r="M41" s="39" t="s">
        <v>701</v>
      </c>
      <c r="N41" s="3" t="str">
        <f>Sheet1!B41</f>
        <v>buchanan-shelter</v>
      </c>
      <c r="O41" s="39" t="s">
        <v>702</v>
      </c>
    </row>
    <row r="42">
      <c r="A42" s="1" t="s">
        <v>695</v>
      </c>
      <c r="B42" s="3" t="str">
        <f>Sheet1!C42</f>
        <v>Buffum Camp</v>
      </c>
      <c r="C42" s="39" t="s">
        <v>696</v>
      </c>
      <c r="D42" s="3">
        <f>Sheet1!D42</f>
        <v>1922</v>
      </c>
      <c r="E42" s="1" t="s">
        <v>697</v>
      </c>
      <c r="F42" s="3">
        <f>Sheet1!E42</f>
        <v>1960</v>
      </c>
      <c r="G42" s="1" t="s">
        <v>698</v>
      </c>
      <c r="H42" s="3">
        <f>IF(Sheet1!K42, 1, 0)
</f>
        <v>1</v>
      </c>
      <c r="I42" s="39" t="s">
        <v>699</v>
      </c>
      <c r="J42" s="3" t="str">
        <f>Sheet1!J42</f>
        <v>Frame shelter</v>
      </c>
      <c r="K42" s="39" t="s">
        <v>700</v>
      </c>
      <c r="L42" s="3" t="str">
        <f>Sheet1!L42</f>
        <v/>
      </c>
      <c r="M42" s="39" t="s">
        <v>701</v>
      </c>
      <c r="N42" s="3" t="str">
        <f>Sheet1!B42</f>
        <v>buffum-camp</v>
      </c>
      <c r="O42" s="39" t="s">
        <v>702</v>
      </c>
    </row>
    <row r="43">
      <c r="A43" s="1" t="s">
        <v>695</v>
      </c>
      <c r="B43" s="3" t="str">
        <f>Sheet1!C43</f>
        <v>Buffum Lodge</v>
      </c>
      <c r="C43" s="39" t="s">
        <v>696</v>
      </c>
      <c r="D43" s="3">
        <f>Sheet1!D43</f>
        <v>1961</v>
      </c>
      <c r="E43" s="1" t="s">
        <v>697</v>
      </c>
      <c r="F43" s="3">
        <f>Sheet1!E43</f>
        <v>1966</v>
      </c>
      <c r="G43" s="1" t="s">
        <v>698</v>
      </c>
      <c r="H43" s="3">
        <f>IF(Sheet1!K43, 1, 0)
</f>
        <v>1</v>
      </c>
      <c r="I43" s="39" t="s">
        <v>699</v>
      </c>
      <c r="J43" s="3" t="str">
        <f>Sheet1!J43</f>
        <v>Frame cabin</v>
      </c>
      <c r="K43" s="39" t="s">
        <v>700</v>
      </c>
      <c r="L43" s="3" t="str">
        <f>Sheet1!L43</f>
        <v/>
      </c>
      <c r="M43" s="39" t="s">
        <v>701</v>
      </c>
      <c r="N43" s="3" t="str">
        <f>Sheet1!B43</f>
        <v>buffum-lodge</v>
      </c>
      <c r="O43" s="39" t="s">
        <v>702</v>
      </c>
    </row>
    <row r="44">
      <c r="A44" s="1" t="s">
        <v>695</v>
      </c>
      <c r="B44" s="3" t="str">
        <f>Sheet1!C44</f>
        <v>Burling Camp</v>
      </c>
      <c r="C44" s="39" t="s">
        <v>696</v>
      </c>
      <c r="D44" s="3">
        <f>Sheet1!D44</f>
        <v>1970</v>
      </c>
      <c r="E44" s="1" t="s">
        <v>697</v>
      </c>
      <c r="F44" s="3" t="str">
        <f>Sheet1!E44</f>
        <v/>
      </c>
      <c r="G44" s="1" t="s">
        <v>698</v>
      </c>
      <c r="H44" s="3">
        <f>IF(Sheet1!K44, 1, 0)
</f>
        <v>0</v>
      </c>
      <c r="I44" s="39" t="s">
        <v>699</v>
      </c>
      <c r="J44" s="3" t="str">
        <f>Sheet1!J44</f>
        <v>Frame cabin</v>
      </c>
      <c r="K44" s="39" t="s">
        <v>700</v>
      </c>
      <c r="L44" s="3" t="str">
        <f>Sheet1!L44</f>
        <v/>
      </c>
      <c r="M44" s="39" t="s">
        <v>701</v>
      </c>
      <c r="N44" s="3" t="str">
        <f>Sheet1!B44</f>
        <v>burling-camp</v>
      </c>
      <c r="O44" s="39" t="s">
        <v>702</v>
      </c>
    </row>
    <row r="45">
      <c r="A45" s="1" t="s">
        <v>695</v>
      </c>
      <c r="B45" s="3" t="str">
        <f>Sheet1!C45</f>
        <v>Butler Lodge</v>
      </c>
      <c r="C45" s="39" t="s">
        <v>696</v>
      </c>
      <c r="D45" s="3">
        <f>Sheet1!D45</f>
        <v>1933</v>
      </c>
      <c r="E45" s="1" t="s">
        <v>697</v>
      </c>
      <c r="F45" s="3" t="str">
        <f>Sheet1!E45</f>
        <v/>
      </c>
      <c r="G45" s="1" t="s">
        <v>698</v>
      </c>
      <c r="H45" s="3">
        <f>IF(Sheet1!K45, 1, 0)
</f>
        <v>1</v>
      </c>
      <c r="I45" s="39" t="s">
        <v>699</v>
      </c>
      <c r="J45" s="3" t="str">
        <f>Sheet1!J45</f>
        <v/>
      </c>
      <c r="K45" s="39" t="s">
        <v>700</v>
      </c>
      <c r="L45" s="3" t="str">
        <f>Sheet1!L45</f>
        <v/>
      </c>
      <c r="M45" s="39" t="s">
        <v>701</v>
      </c>
      <c r="N45" s="3" t="str">
        <f>Sheet1!B45</f>
        <v>butler-lodge</v>
      </c>
      <c r="O45" s="39" t="s">
        <v>702</v>
      </c>
    </row>
    <row r="46">
      <c r="A46" s="1" t="s">
        <v>695</v>
      </c>
      <c r="B46" s="3" t="str">
        <f>Sheet1!C46</f>
        <v>Camel's Hump Clearing Huts</v>
      </c>
      <c r="C46" s="39" t="s">
        <v>696</v>
      </c>
      <c r="D46" s="3">
        <f>Sheet1!D46</f>
        <v>1860</v>
      </c>
      <c r="E46" s="1" t="s">
        <v>697</v>
      </c>
      <c r="F46" s="3">
        <f>Sheet1!E46</f>
        <v>1950</v>
      </c>
      <c r="G46" s="1" t="s">
        <v>698</v>
      </c>
      <c r="H46" s="3">
        <f>IF(Sheet1!K46, 1, 0)
</f>
        <v>1</v>
      </c>
      <c r="I46" s="39" t="s">
        <v>699</v>
      </c>
      <c r="J46" s="3" t="str">
        <f>Sheet1!J46</f>
        <v>Metal Hut</v>
      </c>
      <c r="K46" s="39" t="s">
        <v>700</v>
      </c>
      <c r="L46" s="3" t="str">
        <f>Sheet1!L46</f>
        <v/>
      </c>
      <c r="M46" s="39" t="s">
        <v>701</v>
      </c>
      <c r="N46" s="3" t="str">
        <f>Sheet1!B46</f>
        <v>camels-hump-clearing-huts</v>
      </c>
      <c r="O46" s="39" t="s">
        <v>702</v>
      </c>
    </row>
    <row r="47">
      <c r="A47" s="1" t="s">
        <v>695</v>
      </c>
      <c r="B47" s="3" t="str">
        <f>Sheet1!C47</f>
        <v>Camp 4</v>
      </c>
      <c r="C47" s="39" t="s">
        <v>696</v>
      </c>
      <c r="D47" s="3">
        <f>Sheet1!D47</f>
        <v>1910</v>
      </c>
      <c r="E47" s="1" t="s">
        <v>697</v>
      </c>
      <c r="F47" s="3">
        <f>Sheet1!E47</f>
        <v>1926</v>
      </c>
      <c r="G47" s="1" t="s">
        <v>698</v>
      </c>
      <c r="H47" s="3">
        <f>IF(Sheet1!K47, 1, 0)
</f>
        <v>0</v>
      </c>
      <c r="I47" s="39" t="s">
        <v>699</v>
      </c>
      <c r="J47" s="3" t="str">
        <f>Sheet1!J47</f>
        <v>Lumber Camp</v>
      </c>
      <c r="K47" s="39" t="s">
        <v>700</v>
      </c>
      <c r="L47" s="3" t="str">
        <f>Sheet1!L47</f>
        <v>See: UVM long trail digital archives:Mountaintop logging camp and Camels Hump from lumber camp, this is likely mill two miles below camp #4</v>
      </c>
      <c r="M47" s="39" t="s">
        <v>701</v>
      </c>
      <c r="N47" s="3" t="str">
        <f>Sheet1!B47</f>
        <v>camp-4</v>
      </c>
      <c r="O47" s="39" t="s">
        <v>702</v>
      </c>
    </row>
    <row r="48">
      <c r="A48" s="1" t="s">
        <v>695</v>
      </c>
      <c r="B48" s="3" t="str">
        <f>Sheet1!C48</f>
        <v>Camp Clarke</v>
      </c>
      <c r="C48" s="39" t="s">
        <v>696</v>
      </c>
      <c r="D48" s="3">
        <f>Sheet1!D48</f>
        <v>1948</v>
      </c>
      <c r="E48" s="1" t="s">
        <v>697</v>
      </c>
      <c r="F48" s="3">
        <f>Sheet1!E48</f>
        <v>1956</v>
      </c>
      <c r="G48" s="1" t="s">
        <v>698</v>
      </c>
      <c r="H48" s="3">
        <f>IF(Sheet1!K48, 1, 0)
</f>
        <v>1</v>
      </c>
      <c r="I48" s="39" t="s">
        <v>699</v>
      </c>
      <c r="J48" s="3" t="str">
        <f>Sheet1!J48</f>
        <v>Back-yard camp</v>
      </c>
      <c r="K48" s="39" t="s">
        <v>700</v>
      </c>
      <c r="L48" s="3" t="str">
        <f>Sheet1!L48</f>
        <v/>
      </c>
      <c r="M48" s="39" t="s">
        <v>701</v>
      </c>
      <c r="N48" s="3" t="str">
        <f>Sheet1!B48</f>
        <v>camp-clarke</v>
      </c>
      <c r="O48" s="39" t="s">
        <v>702</v>
      </c>
    </row>
    <row r="49">
      <c r="A49" s="1" t="s">
        <v>695</v>
      </c>
      <c r="B49" s="3" t="str">
        <f>Sheet1!C49</f>
        <v>Camp Cobb</v>
      </c>
      <c r="C49" s="39" t="s">
        <v>696</v>
      </c>
      <c r="D49" s="3">
        <f>Sheet1!D49</f>
        <v>1945</v>
      </c>
      <c r="E49" s="1" t="s">
        <v>697</v>
      </c>
      <c r="F49" s="3">
        <f>Sheet1!E49</f>
        <v>1948</v>
      </c>
      <c r="G49" s="1" t="s">
        <v>698</v>
      </c>
      <c r="H49" s="3">
        <f>IF(Sheet1!K49, 1, 0)
</f>
        <v>1</v>
      </c>
      <c r="I49" s="39" t="s">
        <v>699</v>
      </c>
      <c r="J49" s="3" t="str">
        <f>Sheet1!J49</f>
        <v>Hunting camp</v>
      </c>
      <c r="K49" s="39" t="s">
        <v>700</v>
      </c>
      <c r="L49" s="3" t="str">
        <f>Sheet1!L49</f>
        <v/>
      </c>
      <c r="M49" s="39" t="s">
        <v>701</v>
      </c>
      <c r="N49" s="3" t="str">
        <f>Sheet1!B49</f>
        <v>camp-cobb</v>
      </c>
      <c r="O49" s="39" t="s">
        <v>702</v>
      </c>
    </row>
    <row r="50">
      <c r="A50" s="1" t="s">
        <v>695</v>
      </c>
      <c r="B50" s="3" t="str">
        <f>Sheet1!C50</f>
        <v>Camp Eleven</v>
      </c>
      <c r="C50" s="39" t="s">
        <v>696</v>
      </c>
      <c r="D50" s="3">
        <f>Sheet1!D50</f>
        <v>1917</v>
      </c>
      <c r="E50" s="1" t="s">
        <v>697</v>
      </c>
      <c r="F50" s="3">
        <f>Sheet1!E50</f>
        <v>1926</v>
      </c>
      <c r="G50" s="1" t="s">
        <v>698</v>
      </c>
      <c r="H50" s="3">
        <f>IF(Sheet1!K50, 1, 0)
</f>
        <v>0</v>
      </c>
      <c r="I50" s="39" t="s">
        <v>699</v>
      </c>
      <c r="J50" s="3" t="str">
        <f>Sheet1!J50</f>
        <v>Lumber Camp</v>
      </c>
      <c r="K50" s="39" t="s">
        <v>700</v>
      </c>
      <c r="L50" s="3" t="str">
        <f>Sheet1!L50</f>
        <v/>
      </c>
      <c r="M50" s="39" t="s">
        <v>701</v>
      </c>
      <c r="N50" s="3" t="str">
        <f>Sheet1!B50</f>
        <v>camp-eleven</v>
      </c>
      <c r="O50" s="39" t="s">
        <v>702</v>
      </c>
    </row>
    <row r="51">
      <c r="A51" s="1" t="s">
        <v>695</v>
      </c>
      <c r="B51" s="3" t="str">
        <f>Sheet1!C51</f>
        <v>Camp Lizzie</v>
      </c>
      <c r="C51" s="39" t="s">
        <v>696</v>
      </c>
      <c r="D51" s="3">
        <f>Sheet1!D51</f>
        <v>1921</v>
      </c>
      <c r="E51" s="1" t="s">
        <v>697</v>
      </c>
      <c r="F51" s="3">
        <f>Sheet1!E51</f>
        <v>1922</v>
      </c>
      <c r="G51" s="1" t="s">
        <v>698</v>
      </c>
      <c r="H51" s="3">
        <f>IF(Sheet1!K51, 1, 0)
</f>
        <v>0</v>
      </c>
      <c r="I51" s="39" t="s">
        <v>699</v>
      </c>
      <c r="J51" s="3" t="str">
        <f>Sheet1!J51</f>
        <v>Lumber Camp</v>
      </c>
      <c r="K51" s="39" t="s">
        <v>700</v>
      </c>
      <c r="L51" s="3" t="str">
        <f>Sheet1!L51</f>
        <v/>
      </c>
      <c r="M51" s="39" t="s">
        <v>701</v>
      </c>
      <c r="N51" s="3" t="str">
        <f>Sheet1!B51</f>
        <v>camp-lizzie</v>
      </c>
      <c r="O51" s="39" t="s">
        <v>702</v>
      </c>
    </row>
    <row r="52">
      <c r="A52" s="1" t="s">
        <v>695</v>
      </c>
      <c r="B52" s="3" t="str">
        <f>Sheet1!C52</f>
        <v>Camp Webster 1st</v>
      </c>
      <c r="C52" s="39" t="s">
        <v>696</v>
      </c>
      <c r="D52" s="3">
        <f>Sheet1!D52</f>
        <v>1917</v>
      </c>
      <c r="E52" s="1" t="s">
        <v>697</v>
      </c>
      <c r="F52" s="3">
        <f>Sheet1!E52</f>
        <v>1930</v>
      </c>
      <c r="G52" s="1" t="s">
        <v>698</v>
      </c>
      <c r="H52" s="3">
        <f>IF(Sheet1!K52, 1, 0)
</f>
        <v>1</v>
      </c>
      <c r="I52" s="39" t="s">
        <v>699</v>
      </c>
      <c r="J52" s="3" t="str">
        <f>Sheet1!J52</f>
        <v>Lumber Camp</v>
      </c>
      <c r="K52" s="39" t="s">
        <v>700</v>
      </c>
      <c r="L52" s="3" t="str">
        <f>Sheet1!L52</f>
        <v>See below</v>
      </c>
      <c r="M52" s="39" t="s">
        <v>701</v>
      </c>
      <c r="N52" s="3" t="str">
        <f>Sheet1!B52</f>
        <v>camp-webster-1</v>
      </c>
      <c r="O52" s="39" t="s">
        <v>702</v>
      </c>
    </row>
    <row r="53">
      <c r="A53" s="1" t="s">
        <v>695</v>
      </c>
      <c r="B53" s="3" t="str">
        <f>Sheet1!C53</f>
        <v>Camp Webster 2nd</v>
      </c>
      <c r="C53" s="39" t="s">
        <v>696</v>
      </c>
      <c r="D53" s="3">
        <f>Sheet1!D53</f>
        <v>1924</v>
      </c>
      <c r="E53" s="1" t="s">
        <v>697</v>
      </c>
      <c r="F53" s="3">
        <f>Sheet1!E53</f>
        <v>1983</v>
      </c>
      <c r="G53" s="1" t="s">
        <v>698</v>
      </c>
      <c r="H53" s="3">
        <f>IF(Sheet1!K53, 1, 0)
</f>
        <v>1</v>
      </c>
      <c r="I53" s="39" t="s">
        <v>699</v>
      </c>
      <c r="J53" s="3" t="str">
        <f>Sheet1!J53</f>
        <v>Wood Frame Shelter</v>
      </c>
      <c r="K53" s="39" t="s">
        <v>700</v>
      </c>
      <c r="L53" s="3" t="str">
        <f>Sheet1!L53</f>
        <v>Called Old Webster and Webster Shelter</v>
      </c>
      <c r="M53" s="39" t="s">
        <v>701</v>
      </c>
      <c r="N53" s="3" t="str">
        <f>Sheet1!B53</f>
        <v>camp-webster-2</v>
      </c>
      <c r="O53" s="39" t="s">
        <v>702</v>
      </c>
    </row>
    <row r="54">
      <c r="A54" s="1" t="s">
        <v>695</v>
      </c>
      <c r="B54" s="3" t="str">
        <f>Sheet1!C54</f>
        <v>Carmel Camp 1st</v>
      </c>
      <c r="C54" s="39" t="s">
        <v>696</v>
      </c>
      <c r="D54" s="3" t="str">
        <f>Sheet1!D54</f>
        <v/>
      </c>
      <c r="E54" s="1" t="s">
        <v>697</v>
      </c>
      <c r="F54" s="3" t="str">
        <f>Sheet1!E54</f>
        <v/>
      </c>
      <c r="G54" s="1" t="s">
        <v>698</v>
      </c>
      <c r="H54" s="3">
        <f>IF(Sheet1!K54, 1, 0)
</f>
        <v>0</v>
      </c>
      <c r="I54" s="39" t="s">
        <v>699</v>
      </c>
      <c r="J54" s="3" t="str">
        <f>Sheet1!J54</f>
        <v/>
      </c>
      <c r="K54" s="39" t="s">
        <v>700</v>
      </c>
      <c r="L54" s="3" t="str">
        <f>Sheet1!L54</f>
        <v/>
      </c>
      <c r="M54" s="39" t="s">
        <v>701</v>
      </c>
      <c r="N54" s="3" t="str">
        <f>Sheet1!B54</f>
        <v>carmel-camp-1</v>
      </c>
      <c r="O54" s="39" t="s">
        <v>702</v>
      </c>
    </row>
    <row r="55">
      <c r="A55" s="1" t="s">
        <v>695</v>
      </c>
      <c r="B55" s="3" t="str">
        <f>Sheet1!C55</f>
        <v>Carmel Camp 2nd</v>
      </c>
      <c r="C55" s="39" t="s">
        <v>696</v>
      </c>
      <c r="D55" s="3">
        <f>Sheet1!D55</f>
        <v>1921</v>
      </c>
      <c r="E55" s="1" t="s">
        <v>697</v>
      </c>
      <c r="F55" s="3">
        <f>Sheet1!E55</f>
        <v>1947</v>
      </c>
      <c r="G55" s="1" t="s">
        <v>698</v>
      </c>
      <c r="H55" s="3">
        <f>IF(Sheet1!K55, 1, 0)
</f>
        <v>0</v>
      </c>
      <c r="I55" s="39" t="s">
        <v>699</v>
      </c>
      <c r="J55" s="3" t="str">
        <f>Sheet1!J55</f>
        <v>Wooden Frame Camp</v>
      </c>
      <c r="K55" s="39" t="s">
        <v>700</v>
      </c>
      <c r="L55" s="3" t="str">
        <f>Sheet1!L55</f>
        <v/>
      </c>
      <c r="M55" s="39" t="s">
        <v>701</v>
      </c>
      <c r="N55" s="3" t="str">
        <f>Sheet1!B55</f>
        <v>carmel-camp-2</v>
      </c>
      <c r="O55" s="39" t="s">
        <v>702</v>
      </c>
    </row>
    <row r="56">
      <c r="A56" s="1" t="s">
        <v>695</v>
      </c>
      <c r="B56" s="3" t="str">
        <f>Sheet1!C56</f>
        <v>Carmel Camp 3rd</v>
      </c>
      <c r="C56" s="39" t="s">
        <v>696</v>
      </c>
      <c r="D56" s="3">
        <f>Sheet1!D56</f>
        <v>1949</v>
      </c>
      <c r="E56" s="1" t="s">
        <v>697</v>
      </c>
      <c r="F56" s="3">
        <f>Sheet1!E56</f>
        <v>1976</v>
      </c>
      <c r="G56" s="1" t="s">
        <v>698</v>
      </c>
      <c r="H56" s="3">
        <f>IF(Sheet1!K56, 1, 0)
</f>
        <v>1</v>
      </c>
      <c r="I56" s="39" t="s">
        <v>699</v>
      </c>
      <c r="J56" s="3" t="str">
        <f>Sheet1!J56</f>
        <v>Steel Building</v>
      </c>
      <c r="K56" s="39" t="s">
        <v>700</v>
      </c>
      <c r="L56" s="3" t="str">
        <f>Sheet1!L56</f>
        <v/>
      </c>
      <c r="M56" s="39" t="s">
        <v>701</v>
      </c>
      <c r="N56" s="3" t="str">
        <f>Sheet1!B56</f>
        <v>carmel-camp-3</v>
      </c>
      <c r="O56" s="39" t="s">
        <v>702</v>
      </c>
    </row>
    <row r="57">
      <c r="A57" s="1" t="s">
        <v>695</v>
      </c>
      <c r="B57" s="3" t="str">
        <f>Sheet1!C57</f>
        <v>Caughnawaga Shelter</v>
      </c>
      <c r="C57" s="39" t="s">
        <v>696</v>
      </c>
      <c r="D57" s="3">
        <f>Sheet1!D57</f>
        <v>1931</v>
      </c>
      <c r="E57" s="1" t="s">
        <v>697</v>
      </c>
      <c r="F57" s="3">
        <f>Sheet1!E57</f>
        <v>2017</v>
      </c>
      <c r="G57" s="1" t="s">
        <v>698</v>
      </c>
      <c r="H57" s="3">
        <f>IF(Sheet1!K57, 1, 0)
</f>
        <v>1</v>
      </c>
      <c r="I57" s="39" t="s">
        <v>699</v>
      </c>
      <c r="J57" s="3" t="str">
        <f>Sheet1!J57</f>
        <v>Log Lean-To</v>
      </c>
      <c r="K57" s="39" t="s">
        <v>700</v>
      </c>
      <c r="L57" s="3" t="str">
        <f>Sheet1!L57</f>
        <v/>
      </c>
      <c r="M57" s="39" t="s">
        <v>701</v>
      </c>
      <c r="N57" s="3" t="str">
        <f>Sheet1!B57</f>
        <v>caughnawaga-shelter</v>
      </c>
      <c r="O57" s="39" t="s">
        <v>702</v>
      </c>
    </row>
    <row r="58">
      <c r="A58" s="1" t="s">
        <v>695</v>
      </c>
      <c r="B58" s="3" t="str">
        <f>Sheet1!C58</f>
        <v>Cedar Meadow Camp</v>
      </c>
      <c r="C58" s="39" t="s">
        <v>696</v>
      </c>
      <c r="D58" s="3">
        <f>Sheet1!D58</f>
        <v>1959</v>
      </c>
      <c r="E58" s="1" t="s">
        <v>697</v>
      </c>
      <c r="F58" s="3">
        <f>Sheet1!E58</f>
        <v>2010</v>
      </c>
      <c r="G58" s="1" t="s">
        <v>698</v>
      </c>
      <c r="H58" s="3">
        <f>IF(Sheet1!K58, 1, 0)
</f>
        <v>1</v>
      </c>
      <c r="I58" s="39" t="s">
        <v>699</v>
      </c>
      <c r="J58" s="3" t="str">
        <f>Sheet1!J58</f>
        <v>Wooden Frame</v>
      </c>
      <c r="K58" s="39" t="s">
        <v>700</v>
      </c>
      <c r="L58" s="3" t="str">
        <f>Sheet1!L58</f>
        <v/>
      </c>
      <c r="M58" s="39" t="s">
        <v>701</v>
      </c>
      <c r="N58" s="3" t="str">
        <f>Sheet1!B58</f>
        <v>cedar-meadow-camp</v>
      </c>
      <c r="O58" s="39" t="s">
        <v>702</v>
      </c>
    </row>
    <row r="59">
      <c r="A59" s="1" t="s">
        <v>695</v>
      </c>
      <c r="B59" s="3" t="str">
        <f>Sheet1!C59</f>
        <v>Chatfields Boarding House</v>
      </c>
      <c r="C59" s="39" t="s">
        <v>696</v>
      </c>
      <c r="D59" s="3">
        <f>Sheet1!D59</f>
        <v>1924</v>
      </c>
      <c r="E59" s="1" t="s">
        <v>697</v>
      </c>
      <c r="F59" s="3" t="str">
        <f>Sheet1!E59</f>
        <v/>
      </c>
      <c r="G59" s="1" t="s">
        <v>698</v>
      </c>
      <c r="H59" s="3">
        <f>IF(Sheet1!K59, 1, 0)
</f>
        <v>0</v>
      </c>
      <c r="I59" s="39" t="s">
        <v>699</v>
      </c>
      <c r="J59" s="3" t="str">
        <f>Sheet1!J59</f>
        <v/>
      </c>
      <c r="K59" s="39" t="s">
        <v>700</v>
      </c>
      <c r="L59" s="3" t="str">
        <f>Sheet1!L59</f>
        <v/>
      </c>
      <c r="M59" s="39" t="s">
        <v>701</v>
      </c>
      <c r="N59" s="3" t="str">
        <f>Sheet1!B59</f>
        <v>chatfields-boarding-house</v>
      </c>
      <c r="O59" s="39" t="s">
        <v>702</v>
      </c>
    </row>
    <row r="60">
      <c r="A60" s="1" t="s">
        <v>695</v>
      </c>
      <c r="B60" s="3" t="str">
        <f>Sheet1!C60</f>
        <v>Churchill Scott Shelter</v>
      </c>
      <c r="C60" s="39" t="s">
        <v>696</v>
      </c>
      <c r="D60" s="3">
        <f>Sheet1!D60</f>
        <v>2002</v>
      </c>
      <c r="E60" s="1" t="s">
        <v>697</v>
      </c>
      <c r="F60" s="3" t="str">
        <f>Sheet1!E60</f>
        <v/>
      </c>
      <c r="G60" s="1" t="s">
        <v>698</v>
      </c>
      <c r="H60" s="3">
        <f>IF(Sheet1!K60, 1, 0)
</f>
        <v>1</v>
      </c>
      <c r="I60" s="39" t="s">
        <v>699</v>
      </c>
      <c r="J60" s="3" t="str">
        <f>Sheet1!J60</f>
        <v>Post and Beam</v>
      </c>
      <c r="K60" s="39" t="s">
        <v>700</v>
      </c>
      <c r="L60" s="3" t="str">
        <f>Sheet1!L60</f>
        <v>Erik and Laurel Tobiason</v>
      </c>
      <c r="M60" s="39" t="s">
        <v>701</v>
      </c>
      <c r="N60" s="3" t="str">
        <f>Sheet1!B60</f>
        <v>churchill-scott-shelter</v>
      </c>
      <c r="O60" s="39" t="s">
        <v>702</v>
      </c>
    </row>
    <row r="61">
      <c r="A61" s="1" t="s">
        <v>695</v>
      </c>
      <c r="B61" s="3" t="str">
        <f>Sheet1!C61</f>
        <v>Clarendon Camp</v>
      </c>
      <c r="C61" s="39" t="s">
        <v>696</v>
      </c>
      <c r="D61" s="3">
        <f>Sheet1!D61</f>
        <v>1921</v>
      </c>
      <c r="E61" s="1" t="s">
        <v>697</v>
      </c>
      <c r="F61" s="3">
        <f>Sheet1!E61</f>
        <v>1951</v>
      </c>
      <c r="G61" s="1" t="s">
        <v>698</v>
      </c>
      <c r="H61" s="3">
        <f>IF(Sheet1!K61, 1, 0)
</f>
        <v>1</v>
      </c>
      <c r="I61" s="39" t="s">
        <v>699</v>
      </c>
      <c r="J61" s="3" t="str">
        <f>Sheet1!J61</f>
        <v>Frame Shelter</v>
      </c>
      <c r="K61" s="39" t="s">
        <v>700</v>
      </c>
      <c r="L61" s="3" t="str">
        <f>Sheet1!L61</f>
        <v/>
      </c>
      <c r="M61" s="39" t="s">
        <v>701</v>
      </c>
      <c r="N61" s="3" t="str">
        <f>Sheet1!B61</f>
        <v>clarendon-camp</v>
      </c>
      <c r="O61" s="39" t="s">
        <v>702</v>
      </c>
    </row>
    <row r="62">
      <c r="A62" s="1" t="s">
        <v>695</v>
      </c>
      <c r="B62" s="3" t="str">
        <f>Sheet1!C62</f>
        <v>Clarendon Lodge</v>
      </c>
      <c r="C62" s="39" t="s">
        <v>696</v>
      </c>
      <c r="D62" s="3">
        <f>Sheet1!D62</f>
        <v>1952</v>
      </c>
      <c r="E62" s="1" t="s">
        <v>697</v>
      </c>
      <c r="F62" s="3">
        <f>Sheet1!E62</f>
        <v>1971</v>
      </c>
      <c r="G62" s="1" t="s">
        <v>698</v>
      </c>
      <c r="H62" s="3">
        <f>IF(Sheet1!K62, 1, 0)
</f>
        <v>1</v>
      </c>
      <c r="I62" s="39" t="s">
        <v>699</v>
      </c>
      <c r="J62" s="3" t="str">
        <f>Sheet1!J62</f>
        <v>Wood Frame</v>
      </c>
      <c r="K62" s="39" t="s">
        <v>700</v>
      </c>
      <c r="L62" s="3" t="str">
        <f>Sheet1!L62</f>
        <v/>
      </c>
      <c r="M62" s="39" t="s">
        <v>701</v>
      </c>
      <c r="N62" s="3" t="str">
        <f>Sheet1!B62</f>
        <v>clarendon-lodge</v>
      </c>
      <c r="O62" s="39" t="s">
        <v>702</v>
      </c>
    </row>
    <row r="63">
      <c r="A63" s="1" t="s">
        <v>695</v>
      </c>
      <c r="B63" s="3" t="str">
        <f>Sheet1!C63</f>
        <v>Clarendon Shelter</v>
      </c>
      <c r="C63" s="39" t="s">
        <v>696</v>
      </c>
      <c r="D63" s="3">
        <f>Sheet1!D63</f>
        <v>1952</v>
      </c>
      <c r="E63" s="1" t="s">
        <v>697</v>
      </c>
      <c r="F63" s="3" t="str">
        <f>Sheet1!E63</f>
        <v/>
      </c>
      <c r="G63" s="1" t="s">
        <v>698</v>
      </c>
      <c r="H63" s="3">
        <f>IF(Sheet1!K63, 1, 0)
</f>
        <v>1</v>
      </c>
      <c r="I63" s="39" t="s">
        <v>699</v>
      </c>
      <c r="J63" s="3" t="str">
        <f>Sheet1!J63</f>
        <v>Converted Wood Frame Shelter</v>
      </c>
      <c r="K63" s="39" t="s">
        <v>700</v>
      </c>
      <c r="L63" s="3" t="str">
        <f>Sheet1!L63</f>
        <v/>
      </c>
      <c r="M63" s="39" t="s">
        <v>701</v>
      </c>
      <c r="N63" s="3" t="str">
        <f>Sheet1!B63</f>
        <v>clarendon-shelter</v>
      </c>
      <c r="O63" s="39" t="s">
        <v>702</v>
      </c>
    </row>
    <row r="64">
      <c r="A64" s="1" t="s">
        <v>695</v>
      </c>
      <c r="B64" s="3" t="str">
        <f>Sheet1!C64</f>
        <v>Cloudland Shelter</v>
      </c>
      <c r="C64" s="39" t="s">
        <v>696</v>
      </c>
      <c r="D64" s="3">
        <f>Sheet1!D64</f>
        <v>1995</v>
      </c>
      <c r="E64" s="1" t="s">
        <v>697</v>
      </c>
      <c r="F64" s="3" t="str">
        <f>Sheet1!E64</f>
        <v/>
      </c>
      <c r="G64" s="1" t="s">
        <v>698</v>
      </c>
      <c r="H64" s="3">
        <f>IF(Sheet1!K64, 1, 0)
</f>
        <v>0</v>
      </c>
      <c r="I64" s="39" t="s">
        <v>699</v>
      </c>
      <c r="J64" s="3" t="str">
        <f>Sheet1!J64</f>
        <v>Wood Frame</v>
      </c>
      <c r="K64" s="39" t="s">
        <v>700</v>
      </c>
      <c r="L64" s="3" t="str">
        <f>Sheet1!L64</f>
        <v/>
      </c>
      <c r="M64" s="39" t="s">
        <v>701</v>
      </c>
      <c r="N64" s="3" t="str">
        <f>Sheet1!B64</f>
        <v>cloudland-shelter</v>
      </c>
      <c r="O64" s="39" t="s">
        <v>702</v>
      </c>
    </row>
    <row r="65">
      <c r="A65" s="1" t="s">
        <v>695</v>
      </c>
      <c r="B65" s="3" t="str">
        <f>Sheet1!C65</f>
        <v>Congdon Shelter</v>
      </c>
      <c r="C65" s="39" t="s">
        <v>696</v>
      </c>
      <c r="D65" s="3">
        <f>Sheet1!D65</f>
        <v>1967</v>
      </c>
      <c r="E65" s="1" t="s">
        <v>697</v>
      </c>
      <c r="F65" s="3" t="str">
        <f>Sheet1!E65</f>
        <v/>
      </c>
      <c r="G65" s="1" t="s">
        <v>698</v>
      </c>
      <c r="H65" s="3">
        <f>IF(Sheet1!K65, 1, 0)
</f>
        <v>1</v>
      </c>
      <c r="I65" s="39" t="s">
        <v>699</v>
      </c>
      <c r="J65" s="3" t="str">
        <f>Sheet1!J65</f>
        <v>Wood Frame</v>
      </c>
      <c r="K65" s="39" t="s">
        <v>700</v>
      </c>
      <c r="L65" s="3" t="str">
        <f>Sheet1!L65</f>
        <v/>
      </c>
      <c r="M65" s="39" t="s">
        <v>701</v>
      </c>
      <c r="N65" s="3" t="str">
        <f>Sheet1!B65</f>
        <v>congdon-shelter</v>
      </c>
      <c r="O65" s="39" t="s">
        <v>702</v>
      </c>
    </row>
    <row r="66">
      <c r="A66" s="1" t="s">
        <v>695</v>
      </c>
      <c r="B66" s="3" t="str">
        <f>Sheet1!C66</f>
        <v>Cooley Glen Shelter 1st</v>
      </c>
      <c r="C66" s="39" t="s">
        <v>696</v>
      </c>
      <c r="D66" s="3">
        <f>Sheet1!D66</f>
        <v>1919</v>
      </c>
      <c r="E66" s="1" t="s">
        <v>697</v>
      </c>
      <c r="F66" s="3">
        <f>Sheet1!E66</f>
        <v>1947</v>
      </c>
      <c r="G66" s="1" t="s">
        <v>698</v>
      </c>
      <c r="H66" s="3">
        <f>IF(Sheet1!K66, 1, 0)
</f>
        <v>1</v>
      </c>
      <c r="I66" s="39" t="s">
        <v>699</v>
      </c>
      <c r="J66" s="3" t="str">
        <f>Sheet1!J66</f>
        <v>Log Lean-To</v>
      </c>
      <c r="K66" s="39" t="s">
        <v>700</v>
      </c>
      <c r="L66" s="3" t="str">
        <f>Sheet1!L66</f>
        <v/>
      </c>
      <c r="M66" s="39" t="s">
        <v>701</v>
      </c>
      <c r="N66" s="3" t="str">
        <f>Sheet1!B66</f>
        <v>cooley-glen-shelter-1</v>
      </c>
      <c r="O66" s="39" t="s">
        <v>702</v>
      </c>
    </row>
    <row r="67">
      <c r="A67" s="1" t="s">
        <v>695</v>
      </c>
      <c r="B67" s="3" t="str">
        <f>Sheet1!C67</f>
        <v>Cooley Glen Shelter 2nd</v>
      </c>
      <c r="C67" s="39" t="s">
        <v>696</v>
      </c>
      <c r="D67" s="3">
        <f>Sheet1!D67</f>
        <v>1949</v>
      </c>
      <c r="E67" s="1" t="s">
        <v>697</v>
      </c>
      <c r="F67" s="3">
        <f>Sheet1!E67</f>
        <v>1964</v>
      </c>
      <c r="G67" s="1" t="s">
        <v>698</v>
      </c>
      <c r="H67" s="3">
        <f>IF(Sheet1!K67, 1, 0)
</f>
        <v>1</v>
      </c>
      <c r="I67" s="39" t="s">
        <v>699</v>
      </c>
      <c r="J67" s="3" t="str">
        <f>Sheet1!J67</f>
        <v>Log Lean-To</v>
      </c>
      <c r="K67" s="39" t="s">
        <v>700</v>
      </c>
      <c r="L67" s="3" t="str">
        <f>Sheet1!L67</f>
        <v/>
      </c>
      <c r="M67" s="39" t="s">
        <v>701</v>
      </c>
      <c r="N67" s="3" t="str">
        <f>Sheet1!B67</f>
        <v>cooley-glen-shelter-2</v>
      </c>
      <c r="O67" s="39" t="s">
        <v>702</v>
      </c>
    </row>
    <row r="68">
      <c r="A68" s="1" t="s">
        <v>695</v>
      </c>
      <c r="B68" s="3" t="str">
        <f>Sheet1!C68</f>
        <v>Cooley Glen Shelter 3rd</v>
      </c>
      <c r="C68" s="39" t="s">
        <v>696</v>
      </c>
      <c r="D68" s="3">
        <f>Sheet1!D68</f>
        <v>1965</v>
      </c>
      <c r="E68" s="1" t="s">
        <v>697</v>
      </c>
      <c r="F68" s="3" t="str">
        <f>Sheet1!E68</f>
        <v/>
      </c>
      <c r="G68" s="1" t="s">
        <v>698</v>
      </c>
      <c r="H68" s="3">
        <f>IF(Sheet1!K68, 1, 0)
</f>
        <v>1</v>
      </c>
      <c r="I68" s="39" t="s">
        <v>699</v>
      </c>
      <c r="J68" s="3" t="str">
        <f>Sheet1!J68</f>
        <v>Wood Frame</v>
      </c>
      <c r="K68" s="39" t="s">
        <v>700</v>
      </c>
      <c r="L68" s="3" t="str">
        <f>Sheet1!L68</f>
        <v/>
      </c>
      <c r="M68" s="39" t="s">
        <v>701</v>
      </c>
      <c r="N68" s="3" t="str">
        <f>Sheet1!B68</f>
        <v>cooley-glen-shelter-3</v>
      </c>
      <c r="O68" s="39" t="s">
        <v>702</v>
      </c>
    </row>
    <row r="69">
      <c r="A69" s="1" t="s">
        <v>695</v>
      </c>
      <c r="B69" s="3" t="str">
        <f>Sheet1!C69</f>
        <v>Cooper Lodge</v>
      </c>
      <c r="C69" s="39" t="s">
        <v>696</v>
      </c>
      <c r="D69" s="3">
        <f>Sheet1!D69</f>
        <v>1939</v>
      </c>
      <c r="E69" s="1" t="s">
        <v>697</v>
      </c>
      <c r="F69" s="3" t="str">
        <f>Sheet1!E69</f>
        <v/>
      </c>
      <c r="G69" s="1" t="s">
        <v>698</v>
      </c>
      <c r="H69" s="3">
        <f>IF(Sheet1!K69, 1, 0)
</f>
        <v>1</v>
      </c>
      <c r="I69" s="39" t="s">
        <v>699</v>
      </c>
      <c r="J69" s="3" t="str">
        <f>Sheet1!J69</f>
        <v>Stone</v>
      </c>
      <c r="K69" s="39" t="s">
        <v>700</v>
      </c>
      <c r="L69" s="3" t="str">
        <f>Sheet1!L69</f>
        <v>Originally called the Stone Hut,see 1937 GB</v>
      </c>
      <c r="M69" s="39" t="s">
        <v>701</v>
      </c>
      <c r="N69" s="3" t="str">
        <f>Sheet1!B69</f>
        <v>cooper-lodge</v>
      </c>
      <c r="O69" s="39" t="s">
        <v>702</v>
      </c>
    </row>
    <row r="70">
      <c r="A70" s="1" t="s">
        <v>695</v>
      </c>
      <c r="B70" s="3" t="str">
        <f>Sheet1!C70</f>
        <v>Corliss Camp</v>
      </c>
      <c r="C70" s="39" t="s">
        <v>696</v>
      </c>
      <c r="D70" s="3">
        <f>Sheet1!D70</f>
        <v>1989</v>
      </c>
      <c r="E70" s="1" t="s">
        <v>697</v>
      </c>
      <c r="F70" s="3" t="str">
        <f>Sheet1!E70</f>
        <v/>
      </c>
      <c r="G70" s="1" t="s">
        <v>698</v>
      </c>
      <c r="H70" s="3">
        <f>IF(Sheet1!K70, 1, 0)
</f>
        <v>1</v>
      </c>
      <c r="I70" s="39" t="s">
        <v>699</v>
      </c>
      <c r="J70" s="3" t="str">
        <f>Sheet1!J70</f>
        <v>Wooden Frame</v>
      </c>
      <c r="K70" s="39" t="s">
        <v>700</v>
      </c>
      <c r="L70" s="3" t="str">
        <f>Sheet1!L70</f>
        <v/>
      </c>
      <c r="M70" s="39" t="s">
        <v>701</v>
      </c>
      <c r="N70" s="3" t="str">
        <f>Sheet1!B70</f>
        <v>corliss-camp</v>
      </c>
      <c r="O70" s="39" t="s">
        <v>702</v>
      </c>
    </row>
    <row r="71">
      <c r="A71" s="1" t="s">
        <v>695</v>
      </c>
      <c r="B71" s="3" t="str">
        <f>Sheet1!C71</f>
        <v>Cowles Cove 1st</v>
      </c>
      <c r="C71" s="39" t="s">
        <v>696</v>
      </c>
      <c r="D71" s="3">
        <f>Sheet1!D71</f>
        <v>1920</v>
      </c>
      <c r="E71" s="1" t="s">
        <v>697</v>
      </c>
      <c r="F71" s="3" t="str">
        <f>Sheet1!E71</f>
        <v/>
      </c>
      <c r="G71" s="1" t="s">
        <v>698</v>
      </c>
      <c r="H71" s="3">
        <f>IF(Sheet1!K71, 1, 0)
</f>
        <v>1</v>
      </c>
      <c r="I71" s="39" t="s">
        <v>699</v>
      </c>
      <c r="J71" s="3" t="str">
        <f>Sheet1!J71</f>
        <v>Log Shelter</v>
      </c>
      <c r="K71" s="39" t="s">
        <v>700</v>
      </c>
      <c r="L71" s="3" t="str">
        <f>Sheet1!L71</f>
        <v/>
      </c>
      <c r="M71" s="39" t="s">
        <v>701</v>
      </c>
      <c r="N71" s="3" t="str">
        <f>Sheet1!B71</f>
        <v>cowles-cove-1</v>
      </c>
      <c r="O71" s="39" t="s">
        <v>702</v>
      </c>
    </row>
    <row r="72">
      <c r="A72" s="1" t="s">
        <v>695</v>
      </c>
      <c r="B72" s="3" t="str">
        <f>Sheet1!C72</f>
        <v>Cowles Cove 2nd</v>
      </c>
      <c r="C72" s="39" t="s">
        <v>696</v>
      </c>
      <c r="D72" s="3">
        <f>Sheet1!D72</f>
        <v>1956</v>
      </c>
      <c r="E72" s="1" t="s">
        <v>697</v>
      </c>
      <c r="F72" s="3" t="str">
        <f>Sheet1!E72</f>
        <v/>
      </c>
      <c r="G72" s="1" t="s">
        <v>698</v>
      </c>
      <c r="H72" s="3">
        <f>IF(Sheet1!K72, 1, 0)
</f>
        <v>1</v>
      </c>
      <c r="I72" s="39" t="s">
        <v>699</v>
      </c>
      <c r="J72" s="3" t="str">
        <f>Sheet1!J72</f>
        <v>Adirondak</v>
      </c>
      <c r="K72" s="39" t="s">
        <v>700</v>
      </c>
      <c r="L72" s="3" t="str">
        <f>Sheet1!L72</f>
        <v/>
      </c>
      <c r="M72" s="39" t="s">
        <v>701</v>
      </c>
      <c r="N72" s="3" t="str">
        <f>Sheet1!B72</f>
        <v>cowles-cove-2</v>
      </c>
      <c r="O72" s="39" t="s">
        <v>702</v>
      </c>
    </row>
    <row r="73">
      <c r="A73" s="1" t="s">
        <v>695</v>
      </c>
      <c r="B73" s="3" t="str">
        <f>Sheet1!C73</f>
        <v>David Logan Shelter</v>
      </c>
      <c r="C73" s="39" t="s">
        <v>696</v>
      </c>
      <c r="D73" s="3">
        <f>Sheet1!D73</f>
        <v>1976</v>
      </c>
      <c r="E73" s="1" t="s">
        <v>697</v>
      </c>
      <c r="F73" s="3" t="str">
        <f>Sheet1!E73</f>
        <v/>
      </c>
      <c r="G73" s="1" t="s">
        <v>698</v>
      </c>
      <c r="H73" s="3">
        <f>IF(Sheet1!K73, 1, 0)
</f>
        <v>1</v>
      </c>
      <c r="I73" s="39" t="s">
        <v>699</v>
      </c>
      <c r="J73" s="3" t="str">
        <f>Sheet1!J73</f>
        <v>Wood Frame</v>
      </c>
      <c r="K73" s="39" t="s">
        <v>700</v>
      </c>
      <c r="L73" s="3" t="str">
        <f>Sheet1!L73</f>
        <v/>
      </c>
      <c r="M73" s="39" t="s">
        <v>701</v>
      </c>
      <c r="N73" s="3" t="str">
        <f>Sheet1!B73</f>
        <v>david-logan-shelter</v>
      </c>
      <c r="O73" s="39" t="s">
        <v>702</v>
      </c>
    </row>
    <row r="74">
      <c r="A74" s="1" t="s">
        <v>695</v>
      </c>
      <c r="B74" s="3" t="str">
        <f>Sheet1!C74</f>
        <v>Deer View Cabin</v>
      </c>
      <c r="C74" s="39" t="s">
        <v>696</v>
      </c>
      <c r="D74" s="3">
        <f>Sheet1!D74</f>
        <v>1920</v>
      </c>
      <c r="E74" s="1" t="s">
        <v>697</v>
      </c>
      <c r="F74" s="3">
        <f>Sheet1!E74</f>
        <v>1929</v>
      </c>
      <c r="G74" s="1" t="s">
        <v>698</v>
      </c>
      <c r="H74" s="3">
        <f>IF(Sheet1!K74, 1, 0)
</f>
        <v>1</v>
      </c>
      <c r="I74" s="39" t="s">
        <v>699</v>
      </c>
      <c r="J74" s="3" t="str">
        <f>Sheet1!J74</f>
        <v>Wood Frame</v>
      </c>
      <c r="K74" s="39" t="s">
        <v>700</v>
      </c>
      <c r="L74" s="3" t="str">
        <f>Sheet1!L74</f>
        <v>Replaces OLD Deer View Cabin, also called a camp</v>
      </c>
      <c r="M74" s="39" t="s">
        <v>701</v>
      </c>
      <c r="N74" s="3" t="str">
        <f>Sheet1!B74</f>
        <v>deer-view-cabin</v>
      </c>
      <c r="O74" s="39" t="s">
        <v>702</v>
      </c>
    </row>
    <row r="75">
      <c r="A75" s="1" t="s">
        <v>695</v>
      </c>
      <c r="B75" s="3" t="str">
        <f>Sheet1!C75</f>
        <v>Deer View Shelter</v>
      </c>
      <c r="C75" s="39" t="s">
        <v>696</v>
      </c>
      <c r="D75" s="3">
        <f>Sheet1!D75</f>
        <v>1959</v>
      </c>
      <c r="E75" s="1" t="s">
        <v>697</v>
      </c>
      <c r="F75" s="3">
        <f>Sheet1!E75</f>
        <v>1966</v>
      </c>
      <c r="G75" s="1" t="s">
        <v>698</v>
      </c>
      <c r="H75" s="3">
        <f>IF(Sheet1!K75, 1, 0)
</f>
        <v>1</v>
      </c>
      <c r="I75" s="39" t="s">
        <v>699</v>
      </c>
      <c r="J75" s="3" t="str">
        <f>Sheet1!J75</f>
        <v>Wood Frame</v>
      </c>
      <c r="K75" s="39" t="s">
        <v>700</v>
      </c>
      <c r="L75" s="3" t="str">
        <f>Sheet1!L75</f>
        <v/>
      </c>
      <c r="M75" s="39" t="s">
        <v>701</v>
      </c>
      <c r="N75" s="3" t="str">
        <f>Sheet1!B75</f>
        <v>deer-view-shelter</v>
      </c>
      <c r="O75" s="39" t="s">
        <v>702</v>
      </c>
    </row>
    <row r="76">
      <c r="A76" s="1" t="s">
        <v>695</v>
      </c>
      <c r="B76" s="3" t="str">
        <f>Sheet1!C76</f>
        <v>Deer's Leap Camp</v>
      </c>
      <c r="C76" s="39" t="s">
        <v>696</v>
      </c>
      <c r="D76" s="3">
        <f>Sheet1!D76</f>
        <v>1923</v>
      </c>
      <c r="E76" s="1" t="s">
        <v>697</v>
      </c>
      <c r="F76" s="3">
        <f>Sheet1!E76</f>
        <v>1939</v>
      </c>
      <c r="G76" s="1" t="s">
        <v>698</v>
      </c>
      <c r="H76" s="3">
        <f>IF(Sheet1!K76, 1, 0)
</f>
        <v>1</v>
      </c>
      <c r="I76" s="39" t="s">
        <v>699</v>
      </c>
      <c r="J76" s="3" t="str">
        <f>Sheet1!J76</f>
        <v>Wood Frame</v>
      </c>
      <c r="K76" s="39" t="s">
        <v>700</v>
      </c>
      <c r="L76" s="3" t="str">
        <f>Sheet1!L76</f>
        <v/>
      </c>
      <c r="M76" s="39" t="s">
        <v>701</v>
      </c>
      <c r="N76" s="3" t="str">
        <f>Sheet1!B76</f>
        <v>deers-leap-camp</v>
      </c>
      <c r="O76" s="39" t="s">
        <v>702</v>
      </c>
    </row>
    <row r="77">
      <c r="A77" s="1" t="s">
        <v>695</v>
      </c>
      <c r="B77" s="3" t="str">
        <f>Sheet1!C77</f>
        <v>Deer's Leap Lodge</v>
      </c>
      <c r="C77" s="39" t="s">
        <v>696</v>
      </c>
      <c r="D77" s="3">
        <f>Sheet1!D77</f>
        <v>1939</v>
      </c>
      <c r="E77" s="1" t="s">
        <v>697</v>
      </c>
      <c r="F77" s="3">
        <f>Sheet1!E77</f>
        <v>1977</v>
      </c>
      <c r="G77" s="1" t="s">
        <v>698</v>
      </c>
      <c r="H77" s="3">
        <f>IF(Sheet1!K77, 1, 0)
</f>
        <v>1</v>
      </c>
      <c r="I77" s="39" t="s">
        <v>699</v>
      </c>
      <c r="J77" s="3" t="str">
        <f>Sheet1!J77</f>
        <v>Wood Frame</v>
      </c>
      <c r="K77" s="39" t="s">
        <v>700</v>
      </c>
      <c r="L77" s="3" t="str">
        <f>Sheet1!L77</f>
        <v>Main Structure still standing as Long Trail Inn</v>
      </c>
      <c r="M77" s="39" t="s">
        <v>701</v>
      </c>
      <c r="N77" s="3" t="str">
        <f>Sheet1!B77</f>
        <v>deers-leap-lodge</v>
      </c>
      <c r="O77" s="39" t="s">
        <v>702</v>
      </c>
    </row>
    <row r="78">
      <c r="A78" s="1" t="s">
        <v>695</v>
      </c>
      <c r="B78" s="3" t="str">
        <f>Sheet1!C78</f>
        <v>Duck Brook Shelter</v>
      </c>
      <c r="C78" s="39" t="s">
        <v>696</v>
      </c>
      <c r="D78" s="3">
        <f>Sheet1!D78</f>
        <v>1966</v>
      </c>
      <c r="E78" s="1" t="s">
        <v>697</v>
      </c>
      <c r="F78" s="3" t="str">
        <f>Sheet1!E78</f>
        <v/>
      </c>
      <c r="G78" s="1" t="s">
        <v>698</v>
      </c>
      <c r="H78" s="3">
        <f>IF(Sheet1!K78, 1, 0)
</f>
        <v>1</v>
      </c>
      <c r="I78" s="39" t="s">
        <v>699</v>
      </c>
      <c r="J78" s="3" t="str">
        <f>Sheet1!J78</f>
        <v>Wood Frame</v>
      </c>
      <c r="K78" s="39" t="s">
        <v>700</v>
      </c>
      <c r="L78" s="3" t="str">
        <f>Sheet1!L78</f>
        <v/>
      </c>
      <c r="M78" s="39" t="s">
        <v>701</v>
      </c>
      <c r="N78" s="3" t="str">
        <f>Sheet1!B78</f>
        <v>duck-brook-shelter</v>
      </c>
      <c r="O78" s="39" t="s">
        <v>702</v>
      </c>
    </row>
    <row r="79">
      <c r="A79" s="1" t="s">
        <v>695</v>
      </c>
      <c r="B79" s="3" t="str">
        <f>Sheet1!C79</f>
        <v>Dufresne Job</v>
      </c>
      <c r="C79" s="39" t="s">
        <v>696</v>
      </c>
      <c r="D79" s="3">
        <f>Sheet1!D79</f>
        <v>1917</v>
      </c>
      <c r="E79" s="1" t="s">
        <v>697</v>
      </c>
      <c r="F79" s="3">
        <f>Sheet1!E79</f>
        <v>1927</v>
      </c>
      <c r="G79" s="1" t="s">
        <v>698</v>
      </c>
      <c r="H79" s="3">
        <f>IF(Sheet1!K79, 1, 0)
</f>
        <v>0</v>
      </c>
      <c r="I79" s="39" t="s">
        <v>699</v>
      </c>
      <c r="J79" s="3" t="str">
        <f>Sheet1!J79</f>
        <v>Lumber Camp</v>
      </c>
      <c r="K79" s="39" t="s">
        <v>700</v>
      </c>
      <c r="L79" s="3" t="str">
        <f>Sheet1!L79</f>
        <v/>
      </c>
      <c r="M79" s="39" t="s">
        <v>701</v>
      </c>
      <c r="N79" s="3" t="str">
        <f>Sheet1!B79</f>
        <v>dufresne-job</v>
      </c>
      <c r="O79" s="39" t="s">
        <v>702</v>
      </c>
    </row>
    <row r="80">
      <c r="A80" s="1" t="s">
        <v>695</v>
      </c>
      <c r="B80" s="3" t="str">
        <f>Sheet1!C80</f>
        <v>Duncan Camp</v>
      </c>
      <c r="C80" s="39" t="s">
        <v>696</v>
      </c>
      <c r="D80" s="3">
        <f>Sheet1!D80</f>
        <v>1925</v>
      </c>
      <c r="E80" s="1" t="s">
        <v>697</v>
      </c>
      <c r="F80" s="3">
        <f>Sheet1!E80</f>
        <v>1925</v>
      </c>
      <c r="G80" s="1" t="s">
        <v>698</v>
      </c>
      <c r="H80" s="3">
        <f>IF(Sheet1!K80, 1, 0)
</f>
        <v>0</v>
      </c>
      <c r="I80" s="39" t="s">
        <v>699</v>
      </c>
      <c r="J80" s="3" t="str">
        <f>Sheet1!J80</f>
        <v>Barn</v>
      </c>
      <c r="K80" s="39" t="s">
        <v>700</v>
      </c>
      <c r="L80" s="3" t="str">
        <f>Sheet1!L80</f>
        <v>At Charles Hampton Grant farm in Peru Marge Fish husband researching location.</v>
      </c>
      <c r="M80" s="39" t="s">
        <v>701</v>
      </c>
      <c r="N80" s="3" t="str">
        <f>Sheet1!B80</f>
        <v>duncan-camp</v>
      </c>
      <c r="O80" s="39" t="s">
        <v>702</v>
      </c>
    </row>
    <row r="81">
      <c r="A81" s="1" t="s">
        <v>695</v>
      </c>
      <c r="B81" s="3" t="str">
        <f>Sheet1!C81</f>
        <v>Dunsmoor Lodge</v>
      </c>
      <c r="C81" s="39" t="s">
        <v>696</v>
      </c>
      <c r="D81" s="3">
        <f>Sheet1!D81</f>
        <v>1912</v>
      </c>
      <c r="E81" s="1" t="s">
        <v>697</v>
      </c>
      <c r="F81" s="3">
        <f>Sheet1!E81</f>
        <v>1932</v>
      </c>
      <c r="G81" s="1" t="s">
        <v>698</v>
      </c>
      <c r="H81" s="3">
        <f>IF(Sheet1!K81, 1, 0)
</f>
        <v>1</v>
      </c>
      <c r="I81" s="39" t="s">
        <v>699</v>
      </c>
      <c r="J81" s="3" t="str">
        <f>Sheet1!J81</f>
        <v>Open shelter</v>
      </c>
      <c r="K81" s="39" t="s">
        <v>700</v>
      </c>
      <c r="L81" s="3" t="str">
        <f>Sheet1!L81</f>
        <v/>
      </c>
      <c r="M81" s="39" t="s">
        <v>701</v>
      </c>
      <c r="N81" s="3" t="str">
        <f>Sheet1!B81</f>
        <v>dunsmoor-lodge</v>
      </c>
      <c r="O81" s="39" t="s">
        <v>702</v>
      </c>
    </row>
    <row r="82">
      <c r="A82" s="1" t="s">
        <v>695</v>
      </c>
      <c r="B82" s="3" t="str">
        <f>Sheet1!C82</f>
        <v>East Shore Shelter at Little Rock Pond</v>
      </c>
      <c r="C82" s="39" t="s">
        <v>696</v>
      </c>
      <c r="D82" s="3">
        <f>Sheet1!D82</f>
        <v>1962</v>
      </c>
      <c r="E82" s="1" t="s">
        <v>697</v>
      </c>
      <c r="F82" s="3">
        <f>Sheet1!E82</f>
        <v>1972</v>
      </c>
      <c r="G82" s="1" t="s">
        <v>698</v>
      </c>
      <c r="H82" s="3">
        <f>IF(Sheet1!K82, 1, 0)
</f>
        <v>1</v>
      </c>
      <c r="I82" s="39" t="s">
        <v>699</v>
      </c>
      <c r="J82" s="3" t="str">
        <f>Sheet1!J82</f>
        <v>Wood Frame</v>
      </c>
      <c r="K82" s="39" t="s">
        <v>700</v>
      </c>
      <c r="L82" s="3" t="str">
        <f>Sheet1!L82</f>
        <v>Moved south .2 miles and renamed Lula Tye, photo shown is in new location with new name</v>
      </c>
      <c r="M82" s="39" t="s">
        <v>701</v>
      </c>
      <c r="N82" s="3" t="str">
        <f>Sheet1!B82</f>
        <v>east-shore-shelter-at-little-rock-pond                                               </v>
      </c>
      <c r="O82" s="39" t="s">
        <v>702</v>
      </c>
    </row>
    <row r="83">
      <c r="A83" s="1" t="s">
        <v>695</v>
      </c>
      <c r="B83" s="3" t="str">
        <f>Sheet1!C83</f>
        <v>Ellen Cabin</v>
      </c>
      <c r="C83" s="39" t="s">
        <v>696</v>
      </c>
      <c r="D83" s="3">
        <f>Sheet1!D83</f>
        <v>1903</v>
      </c>
      <c r="E83" s="1" t="s">
        <v>697</v>
      </c>
      <c r="F83" s="3">
        <f>Sheet1!E83</f>
        <v>1926</v>
      </c>
      <c r="G83" s="1" t="s">
        <v>698</v>
      </c>
      <c r="H83" s="3">
        <f>IF(Sheet1!K83, 1, 0)
</f>
        <v>0</v>
      </c>
      <c r="I83" s="39" t="s">
        <v>699</v>
      </c>
      <c r="J83" s="3" t="str">
        <f>Sheet1!J83</f>
        <v>Logging cabin</v>
      </c>
      <c r="K83" s="39" t="s">
        <v>700</v>
      </c>
      <c r="L83" s="3" t="str">
        <f>Sheet1!L83</f>
        <v/>
      </c>
      <c r="M83" s="39" t="s">
        <v>701</v>
      </c>
      <c r="N83" s="3" t="str">
        <f>Sheet1!B83</f>
        <v>ellen-cabin</v>
      </c>
      <c r="O83" s="39" t="s">
        <v>702</v>
      </c>
    </row>
    <row r="84">
      <c r="A84" s="1" t="s">
        <v>695</v>
      </c>
      <c r="B84" s="3" t="str">
        <f>Sheet1!C84</f>
        <v>Emily Proctor Lodge (1st)</v>
      </c>
      <c r="C84" s="39" t="s">
        <v>696</v>
      </c>
      <c r="D84" s="3">
        <f>Sheet1!D84</f>
        <v>1913</v>
      </c>
      <c r="E84" s="1" t="s">
        <v>697</v>
      </c>
      <c r="F84" s="3">
        <f>Sheet1!E84</f>
        <v>1939</v>
      </c>
      <c r="G84" s="1" t="s">
        <v>698</v>
      </c>
      <c r="H84" s="3">
        <f>IF(Sheet1!K84, 1, 0)
</f>
        <v>1</v>
      </c>
      <c r="I84" s="39" t="s">
        <v>699</v>
      </c>
      <c r="J84" s="3" t="str">
        <f>Sheet1!J84</f>
        <v>Frame cabin</v>
      </c>
      <c r="K84" s="39" t="s">
        <v>700</v>
      </c>
      <c r="L84" s="3" t="str">
        <f>Sheet1!L84</f>
        <v>EP in Breadloaf Glen</v>
      </c>
      <c r="M84" s="39" t="s">
        <v>701</v>
      </c>
      <c r="N84" s="3" t="str">
        <f>Sheet1!B84</f>
        <v>emily-proctor-lodge-1</v>
      </c>
      <c r="O84" s="39" t="s">
        <v>702</v>
      </c>
    </row>
    <row r="85">
      <c r="A85" s="1" t="s">
        <v>695</v>
      </c>
      <c r="B85" s="3" t="str">
        <f>Sheet1!C85</f>
        <v>Emily Proctor Lodge (2nd)</v>
      </c>
      <c r="C85" s="39" t="s">
        <v>696</v>
      </c>
      <c r="D85" s="3">
        <f>Sheet1!D85</f>
        <v>1939</v>
      </c>
      <c r="E85" s="1" t="s">
        <v>697</v>
      </c>
      <c r="F85" s="3">
        <f>Sheet1!E85</f>
        <v>1959</v>
      </c>
      <c r="G85" s="1" t="s">
        <v>698</v>
      </c>
      <c r="H85" s="3">
        <f>IF(Sheet1!K85, 1, 0)
</f>
        <v>1</v>
      </c>
      <c r="I85" s="39" t="s">
        <v>699</v>
      </c>
      <c r="J85" s="3" t="str">
        <f>Sheet1!J85</f>
        <v>Frame cabin</v>
      </c>
      <c r="K85" s="39" t="s">
        <v>700</v>
      </c>
      <c r="L85" s="3" t="str">
        <f>Sheet1!L85</f>
        <v>1st cabin rebuilt after 1938 hurricane</v>
      </c>
      <c r="M85" s="39" t="s">
        <v>701</v>
      </c>
      <c r="N85" s="3" t="str">
        <f>Sheet1!B85</f>
        <v>emily-proctor-lodge-2</v>
      </c>
      <c r="O85" s="39" t="s">
        <v>702</v>
      </c>
    </row>
    <row r="86">
      <c r="A86" s="1" t="s">
        <v>695</v>
      </c>
      <c r="B86" s="3" t="str">
        <f>Sheet1!C86</f>
        <v>Emily Proctor Shelter</v>
      </c>
      <c r="C86" s="39" t="s">
        <v>696</v>
      </c>
      <c r="D86" s="3">
        <f>Sheet1!D86</f>
        <v>1960</v>
      </c>
      <c r="E86" s="1" t="s">
        <v>697</v>
      </c>
      <c r="F86" s="3" t="str">
        <f>Sheet1!E86</f>
        <v/>
      </c>
      <c r="G86" s="1" t="s">
        <v>698</v>
      </c>
      <c r="H86" s="3">
        <f>IF(Sheet1!K86, 1, 0)
</f>
        <v>1</v>
      </c>
      <c r="I86" s="39" t="s">
        <v>699</v>
      </c>
      <c r="J86" s="3" t="str">
        <f>Sheet1!J86</f>
        <v>Log shelter</v>
      </c>
      <c r="K86" s="39" t="s">
        <v>700</v>
      </c>
      <c r="L86" s="3" t="str">
        <f>Sheet1!L86</f>
        <v/>
      </c>
      <c r="M86" s="39" t="s">
        <v>701</v>
      </c>
      <c r="N86" s="3" t="str">
        <f>Sheet1!B86</f>
        <v>emily-proctor-shelter</v>
      </c>
      <c r="O86" s="39" t="s">
        <v>702</v>
      </c>
    </row>
    <row r="87">
      <c r="A87" s="1" t="s">
        <v>695</v>
      </c>
      <c r="B87" s="3" t="str">
        <f>Sheet1!C87</f>
        <v>Fay Fuller Camp</v>
      </c>
      <c r="C87" s="39" t="s">
        <v>696</v>
      </c>
      <c r="D87" s="3">
        <f>Sheet1!D87</f>
        <v>1930</v>
      </c>
      <c r="E87" s="1" t="s">
        <v>697</v>
      </c>
      <c r="F87" s="3">
        <f>Sheet1!E87</f>
        <v>1972</v>
      </c>
      <c r="G87" s="1" t="s">
        <v>698</v>
      </c>
      <c r="H87" s="3">
        <f>IF(Sheet1!K87, 1, 0)
</f>
        <v>1</v>
      </c>
      <c r="I87" s="39" t="s">
        <v>699</v>
      </c>
      <c r="J87" s="3" t="str">
        <f>Sheet1!J87</f>
        <v>Stone building</v>
      </c>
      <c r="K87" s="39" t="s">
        <v>700</v>
      </c>
      <c r="L87" s="3" t="str">
        <f>Sheet1!L87</f>
        <v/>
      </c>
      <c r="M87" s="39" t="s">
        <v>701</v>
      </c>
      <c r="N87" s="3" t="str">
        <f>Sheet1!B87</f>
        <v>fay-fuller-camp</v>
      </c>
      <c r="O87" s="39" t="s">
        <v>702</v>
      </c>
    </row>
    <row r="88">
      <c r="A88" s="1" t="s">
        <v>695</v>
      </c>
      <c r="B88" s="3" t="str">
        <f>Sheet1!C88</f>
        <v>Fred H Tucker Camp</v>
      </c>
      <c r="C88" s="39" t="s">
        <v>696</v>
      </c>
      <c r="D88" s="3">
        <f>Sheet1!D88</f>
        <v>1928</v>
      </c>
      <c r="E88" s="1" t="s">
        <v>697</v>
      </c>
      <c r="F88" s="3">
        <f>Sheet1!E88</f>
        <v>1947</v>
      </c>
      <c r="G88" s="1" t="s">
        <v>698</v>
      </c>
      <c r="H88" s="3">
        <f>IF(Sheet1!K88, 1, 0)
</f>
        <v>1</v>
      </c>
      <c r="I88" s="39" t="s">
        <v>699</v>
      </c>
      <c r="J88" s="3" t="str">
        <f>Sheet1!J88</f>
        <v>Frame Cabin</v>
      </c>
      <c r="K88" s="39" t="s">
        <v>700</v>
      </c>
      <c r="L88" s="3" t="str">
        <f>Sheet1!L88</f>
        <v/>
      </c>
      <c r="M88" s="39" t="s">
        <v>701</v>
      </c>
      <c r="N88" s="3" t="str">
        <f>Sheet1!B88</f>
        <v>fred-h-tucker-camp</v>
      </c>
      <c r="O88" s="39" t="s">
        <v>702</v>
      </c>
    </row>
    <row r="89">
      <c r="A89" s="1" t="s">
        <v>695</v>
      </c>
      <c r="B89" s="3" t="str">
        <f>Sheet1!C89</f>
        <v>French Camp</v>
      </c>
      <c r="C89" s="39" t="s">
        <v>696</v>
      </c>
      <c r="D89" s="3">
        <f>Sheet1!D89</f>
        <v>1931</v>
      </c>
      <c r="E89" s="1" t="s">
        <v>697</v>
      </c>
      <c r="F89" s="3">
        <f>Sheet1!E89</f>
        <v>1992</v>
      </c>
      <c r="G89" s="1" t="s">
        <v>698</v>
      </c>
      <c r="H89" s="3">
        <f>IF(Sheet1!K89, 1, 0)
</f>
        <v>1</v>
      </c>
      <c r="I89" s="39" t="s">
        <v>699</v>
      </c>
      <c r="J89" s="3" t="str">
        <f>Sheet1!J89</f>
        <v>Frame cabin</v>
      </c>
      <c r="K89" s="39" t="s">
        <v>700</v>
      </c>
      <c r="L89" s="3" t="str">
        <f>Sheet1!L89</f>
        <v/>
      </c>
      <c r="M89" s="39" t="s">
        <v>701</v>
      </c>
      <c r="N89" s="3" t="str">
        <f>Sheet1!B89</f>
        <v>french-camp</v>
      </c>
      <c r="O89" s="39" t="s">
        <v>702</v>
      </c>
    </row>
    <row r="90">
      <c r="A90" s="1" t="s">
        <v>695</v>
      </c>
      <c r="B90" s="3" t="str">
        <f>Sheet1!C90</f>
        <v>Gates Camp</v>
      </c>
      <c r="C90" s="39" t="s">
        <v>696</v>
      </c>
      <c r="D90" s="3">
        <f>Sheet1!D90</f>
        <v>1924</v>
      </c>
      <c r="E90" s="1" t="s">
        <v>697</v>
      </c>
      <c r="F90" s="3">
        <f>Sheet1!E90</f>
        <v>1935</v>
      </c>
      <c r="G90" s="1" t="s">
        <v>698</v>
      </c>
      <c r="H90" s="3">
        <f>IF(Sheet1!K90, 1, 0)
</f>
        <v>1</v>
      </c>
      <c r="I90" s="39" t="s">
        <v>699</v>
      </c>
      <c r="J90" s="3" t="str">
        <f>Sheet1!J90</f>
        <v>Logging Camp</v>
      </c>
      <c r="K90" s="39" t="s">
        <v>700</v>
      </c>
      <c r="L90" s="3" t="str">
        <f>Sheet1!L90</f>
        <v>Same site as Patch Camp according to guidebook</v>
      </c>
      <c r="M90" s="39" t="s">
        <v>701</v>
      </c>
      <c r="N90" s="3" t="str">
        <f>Sheet1!B90</f>
        <v>gates-camp</v>
      </c>
      <c r="O90" s="39" t="s">
        <v>702</v>
      </c>
    </row>
    <row r="91">
      <c r="A91" s="1" t="s">
        <v>695</v>
      </c>
      <c r="B91" s="3" t="str">
        <f>Sheet1!C91</f>
        <v>Gifford Woods State Park Shelters</v>
      </c>
      <c r="C91" s="39" t="s">
        <v>696</v>
      </c>
      <c r="D91" s="3">
        <f>Sheet1!D91</f>
        <v>1940</v>
      </c>
      <c r="E91" s="1" t="s">
        <v>697</v>
      </c>
      <c r="F91" s="3" t="str">
        <f>Sheet1!E91</f>
        <v/>
      </c>
      <c r="G91" s="1" t="s">
        <v>698</v>
      </c>
      <c r="H91" s="3">
        <f>IF(Sheet1!K91, 1, 0)
</f>
        <v>0</v>
      </c>
      <c r="I91" s="39" t="s">
        <v>699</v>
      </c>
      <c r="J91" s="3" t="str">
        <f>Sheet1!J91</f>
        <v>Wood frame</v>
      </c>
      <c r="K91" s="39" t="s">
        <v>700</v>
      </c>
      <c r="L91" s="3" t="str">
        <f>Sheet1!L91</f>
        <v>GF Park is mentioned in 1940 guidebook, the first shelters were built in 1939</v>
      </c>
      <c r="M91" s="39" t="s">
        <v>701</v>
      </c>
      <c r="N91" s="3" t="str">
        <f>Sheet1!B91</f>
        <v>gifford-woods-state-park-shelters</v>
      </c>
      <c r="O91" s="39" t="s">
        <v>702</v>
      </c>
    </row>
    <row r="92">
      <c r="A92" s="1" t="s">
        <v>695</v>
      </c>
      <c r="B92" s="3" t="str">
        <f>Sheet1!C92</f>
        <v>Glastenbury Mountain Camp</v>
      </c>
      <c r="C92" s="39" t="s">
        <v>696</v>
      </c>
      <c r="D92" s="3">
        <f>Sheet1!D92</f>
        <v>1929</v>
      </c>
      <c r="E92" s="1" t="s">
        <v>697</v>
      </c>
      <c r="F92" s="3">
        <f>Sheet1!E92</f>
        <v>1964</v>
      </c>
      <c r="G92" s="1" t="s">
        <v>698</v>
      </c>
      <c r="H92" s="3">
        <f>IF(Sheet1!K92, 1, 0)
</f>
        <v>1</v>
      </c>
      <c r="I92" s="39" t="s">
        <v>699</v>
      </c>
      <c r="J92" s="3" t="str">
        <f>Sheet1!J92</f>
        <v>Steel cabin</v>
      </c>
      <c r="K92" s="39" t="s">
        <v>700</v>
      </c>
      <c r="L92" s="3" t="str">
        <f>Sheet1!L92</f>
        <v/>
      </c>
      <c r="M92" s="39" t="s">
        <v>701</v>
      </c>
      <c r="N92" s="3" t="str">
        <f>Sheet1!B92</f>
        <v>glastenbury-mountain-camp</v>
      </c>
      <c r="O92" s="39" t="s">
        <v>702</v>
      </c>
    </row>
    <row r="93">
      <c r="A93" s="1" t="s">
        <v>695</v>
      </c>
      <c r="B93" s="3" t="str">
        <f>Sheet1!C93</f>
        <v>Glastenbury Mountain Forestry Cabin</v>
      </c>
      <c r="C93" s="39" t="s">
        <v>696</v>
      </c>
      <c r="D93" s="3">
        <f>Sheet1!D93</f>
        <v>1927</v>
      </c>
      <c r="E93" s="1" t="s">
        <v>697</v>
      </c>
      <c r="F93" s="3">
        <f>Sheet1!E93</f>
        <v>1963</v>
      </c>
      <c r="G93" s="1" t="s">
        <v>698</v>
      </c>
      <c r="H93" s="3">
        <f>IF(Sheet1!K93, 1, 0)
</f>
        <v>0</v>
      </c>
      <c r="I93" s="39" t="s">
        <v>699</v>
      </c>
      <c r="J93" s="3" t="str">
        <f>Sheet1!J93</f>
        <v>Wood frame</v>
      </c>
      <c r="K93" s="39" t="s">
        <v>700</v>
      </c>
      <c r="L93" s="3" t="str">
        <f>Sheet1!L93</f>
        <v>See: Glastenbury Mountain Cairn Site also 1930 GB
by Norman E Muller</v>
      </c>
      <c r="M93" s="39" t="s">
        <v>701</v>
      </c>
      <c r="N93" s="3" t="str">
        <f>Sheet1!B93</f>
        <v>glastenbury-mountain-forestry-cabin</v>
      </c>
      <c r="O93" s="39" t="s">
        <v>702</v>
      </c>
    </row>
    <row r="94">
      <c r="A94" s="1" t="s">
        <v>695</v>
      </c>
      <c r="B94" s="3" t="str">
        <f>Sheet1!C94</f>
        <v>Glastenbury Mountain Shelter</v>
      </c>
      <c r="C94" s="39" t="s">
        <v>696</v>
      </c>
      <c r="D94" s="3">
        <f>Sheet1!D94</f>
        <v>1965</v>
      </c>
      <c r="E94" s="1" t="s">
        <v>697</v>
      </c>
      <c r="F94" s="3">
        <f>Sheet1!E94</f>
        <v>1985</v>
      </c>
      <c r="G94" s="1" t="s">
        <v>698</v>
      </c>
      <c r="H94" s="3">
        <f>IF(Sheet1!K94, 1, 0)
</f>
        <v>1</v>
      </c>
      <c r="I94" s="39" t="s">
        <v>699</v>
      </c>
      <c r="J94" s="3" t="str">
        <f>Sheet1!J94</f>
        <v>Log Lean-to</v>
      </c>
      <c r="K94" s="39" t="s">
        <v>700</v>
      </c>
      <c r="L94" s="3" t="str">
        <f>Sheet1!L94</f>
        <v/>
      </c>
      <c r="M94" s="39" t="s">
        <v>701</v>
      </c>
      <c r="N94" s="3" t="str">
        <f>Sheet1!B94</f>
        <v>glastenbury-mountain-shelter</v>
      </c>
      <c r="O94" s="39" t="s">
        <v>702</v>
      </c>
    </row>
    <row r="95">
      <c r="A95" s="1" t="s">
        <v>695</v>
      </c>
      <c r="B95" s="3" t="str">
        <f>Sheet1!C95</f>
        <v>Glen Ellen Lodge</v>
      </c>
      <c r="C95" s="39" t="s">
        <v>696</v>
      </c>
      <c r="D95" s="3">
        <f>Sheet1!D95</f>
        <v>1933</v>
      </c>
      <c r="E95" s="1" t="s">
        <v>697</v>
      </c>
      <c r="F95" s="3" t="str">
        <f>Sheet1!E95</f>
        <v/>
      </c>
      <c r="G95" s="1" t="s">
        <v>698</v>
      </c>
      <c r="H95" s="3">
        <f>IF(Sheet1!K95, 1, 0)
</f>
        <v>1</v>
      </c>
      <c r="I95" s="39" t="s">
        <v>699</v>
      </c>
      <c r="J95" s="3" t="str">
        <f>Sheet1!J95</f>
        <v>Log cabin</v>
      </c>
      <c r="K95" s="39" t="s">
        <v>700</v>
      </c>
      <c r="L95" s="3" t="str">
        <f>Sheet1!L95</f>
        <v/>
      </c>
      <c r="M95" s="39" t="s">
        <v>701</v>
      </c>
      <c r="N95" s="3" t="str">
        <f>Sheet1!B95</f>
        <v>glen-ellen-lodge</v>
      </c>
      <c r="O95" s="39" t="s">
        <v>702</v>
      </c>
    </row>
    <row r="96">
      <c r="A96" s="1" t="s">
        <v>695</v>
      </c>
      <c r="B96" s="3" t="str">
        <f>Sheet1!C96</f>
        <v>Glen Ellen Shelter</v>
      </c>
      <c r="C96" s="39" t="s">
        <v>696</v>
      </c>
      <c r="D96" s="3">
        <f>Sheet1!D96</f>
        <v>1919</v>
      </c>
      <c r="E96" s="1" t="s">
        <v>697</v>
      </c>
      <c r="F96" s="3">
        <f>Sheet1!E96</f>
        <v>1985</v>
      </c>
      <c r="G96" s="1" t="s">
        <v>698</v>
      </c>
      <c r="H96" s="3">
        <f>IF(Sheet1!K96, 1, 0)
</f>
        <v>1</v>
      </c>
      <c r="I96" s="39" t="s">
        <v>699</v>
      </c>
      <c r="J96" s="3" t="str">
        <f>Sheet1!J96</f>
        <v>Log  Lean-to</v>
      </c>
      <c r="K96" s="39" t="s">
        <v>700</v>
      </c>
      <c r="L96" s="3" t="str">
        <f>Sheet1!L96</f>
        <v/>
      </c>
      <c r="M96" s="39" t="s">
        <v>701</v>
      </c>
      <c r="N96" s="3" t="str">
        <f>Sheet1!B96</f>
        <v>glen-ellen-shelter</v>
      </c>
      <c r="O96" s="39" t="s">
        <v>702</v>
      </c>
    </row>
    <row r="97">
      <c r="A97" s="1" t="s">
        <v>695</v>
      </c>
      <c r="B97" s="3" t="str">
        <f>Sheet1!C97</f>
        <v>Goddard Shelter 1st</v>
      </c>
      <c r="C97" s="39" t="s">
        <v>696</v>
      </c>
      <c r="D97" s="3">
        <f>Sheet1!D97</f>
        <v>1985</v>
      </c>
      <c r="E97" s="1" t="s">
        <v>697</v>
      </c>
      <c r="F97" s="3">
        <f>Sheet1!E97</f>
        <v>2004</v>
      </c>
      <c r="G97" s="1" t="s">
        <v>698</v>
      </c>
      <c r="H97" s="3">
        <f>IF(Sheet1!K97, 1, 0)
</f>
        <v>1</v>
      </c>
      <c r="I97" s="39" t="s">
        <v>699</v>
      </c>
      <c r="J97" s="3" t="str">
        <f>Sheet1!J97</f>
        <v>Log Lean-To</v>
      </c>
      <c r="K97" s="39" t="s">
        <v>700</v>
      </c>
      <c r="L97" s="3" t="str">
        <f>Sheet1!L97</f>
        <v/>
      </c>
      <c r="M97" s="39" t="s">
        <v>701</v>
      </c>
      <c r="N97" s="3" t="str">
        <f>Sheet1!B97</f>
        <v>goddard-shelter-1</v>
      </c>
      <c r="O97" s="39" t="s">
        <v>702</v>
      </c>
    </row>
    <row r="98">
      <c r="A98" s="1" t="s">
        <v>695</v>
      </c>
      <c r="B98" s="3" t="str">
        <f>Sheet1!C98</f>
        <v>Goddard Shelter 2nd</v>
      </c>
      <c r="C98" s="39" t="s">
        <v>696</v>
      </c>
      <c r="D98" s="3">
        <f>Sheet1!D98</f>
        <v>2004</v>
      </c>
      <c r="E98" s="1" t="s">
        <v>697</v>
      </c>
      <c r="F98" s="3" t="str">
        <f>Sheet1!E98</f>
        <v/>
      </c>
      <c r="G98" s="1" t="s">
        <v>698</v>
      </c>
      <c r="H98" s="3">
        <f>IF(Sheet1!K98, 1, 0)
</f>
        <v>1</v>
      </c>
      <c r="I98" s="39" t="s">
        <v>699</v>
      </c>
      <c r="J98" s="3" t="str">
        <f>Sheet1!J98</f>
        <v>Wooden Frame</v>
      </c>
      <c r="K98" s="39" t="s">
        <v>700</v>
      </c>
      <c r="L98" s="3" t="str">
        <f>Sheet1!L98</f>
        <v/>
      </c>
      <c r="M98" s="39" t="s">
        <v>701</v>
      </c>
      <c r="N98" s="3" t="str">
        <f>Sheet1!B98</f>
        <v>goddard-shelter-2</v>
      </c>
      <c r="O98" s="39" t="s">
        <v>702</v>
      </c>
    </row>
    <row r="99">
      <c r="A99" s="1" t="s">
        <v>695</v>
      </c>
      <c r="B99" s="3" t="str">
        <f>Sheet1!C99</f>
        <v>Gore Mountain Summit Cabin</v>
      </c>
      <c r="C99" s="39" t="s">
        <v>696</v>
      </c>
      <c r="D99" s="3" t="str">
        <f>Sheet1!D99</f>
        <v/>
      </c>
      <c r="E99" s="1" t="s">
        <v>697</v>
      </c>
      <c r="F99" s="3" t="str">
        <f>Sheet1!E99</f>
        <v/>
      </c>
      <c r="G99" s="1" t="s">
        <v>698</v>
      </c>
      <c r="H99" s="3">
        <f>IF(Sheet1!K99, 1, 0)
</f>
        <v>0</v>
      </c>
      <c r="I99" s="39" t="s">
        <v>699</v>
      </c>
      <c r="J99" s="3" t="str">
        <f>Sheet1!J99</f>
        <v/>
      </c>
      <c r="K99" s="39" t="s">
        <v>700</v>
      </c>
      <c r="L99" s="3" t="str">
        <f>Sheet1!L99</f>
        <v/>
      </c>
      <c r="M99" s="39" t="s">
        <v>701</v>
      </c>
      <c r="N99" s="3" t="str">
        <f>Sheet1!B99</f>
        <v>gore-mountain-summit-cabin</v>
      </c>
      <c r="O99" s="39" t="s">
        <v>702</v>
      </c>
    </row>
    <row r="100">
      <c r="A100" s="1" t="s">
        <v>695</v>
      </c>
      <c r="B100" s="3" t="str">
        <f>Sheet1!C100</f>
        <v>Gorham Lodge</v>
      </c>
      <c r="C100" s="39" t="s">
        <v>696</v>
      </c>
      <c r="D100" s="3">
        <f>Sheet1!D100</f>
        <v>1949</v>
      </c>
      <c r="E100" s="1" t="s">
        <v>697</v>
      </c>
      <c r="F100" s="3">
        <f>Sheet1!E100</f>
        <v>2001</v>
      </c>
      <c r="G100" s="1" t="s">
        <v>698</v>
      </c>
      <c r="H100" s="3">
        <f>IF(Sheet1!K100, 1, 0)
</f>
        <v>1</v>
      </c>
      <c r="I100" s="39" t="s">
        <v>699</v>
      </c>
      <c r="J100" s="3" t="str">
        <f>Sheet1!J100</f>
        <v>Log cabin</v>
      </c>
      <c r="K100" s="39" t="s">
        <v>700</v>
      </c>
      <c r="L100" s="3" t="str">
        <f>Sheet1!L100</f>
        <v/>
      </c>
      <c r="M100" s="39" t="s">
        <v>701</v>
      </c>
      <c r="N100" s="3" t="str">
        <f>Sheet1!B100</f>
        <v>gorham-lodge</v>
      </c>
      <c r="O100" s="39" t="s">
        <v>702</v>
      </c>
    </row>
    <row r="101">
      <c r="A101" s="1" t="s">
        <v>695</v>
      </c>
      <c r="B101" s="3" t="str">
        <f>Sheet1!C101</f>
        <v>Goshen Lodge</v>
      </c>
      <c r="C101" s="39" t="s">
        <v>696</v>
      </c>
      <c r="D101" s="3">
        <f>Sheet1!D101</f>
        <v>1912</v>
      </c>
      <c r="E101" s="1" t="s">
        <v>697</v>
      </c>
      <c r="F101" s="3" t="str">
        <f>Sheet1!E101</f>
        <v/>
      </c>
      <c r="G101" s="1" t="s">
        <v>698</v>
      </c>
      <c r="H101" s="3">
        <f>IF(Sheet1!K101, 1, 0)
</f>
        <v>1</v>
      </c>
      <c r="I101" s="39" t="s">
        <v>699</v>
      </c>
      <c r="J101" s="3" t="str">
        <f>Sheet1!J101</f>
        <v/>
      </c>
      <c r="K101" s="39" t="s">
        <v>700</v>
      </c>
      <c r="L101" s="3" t="str">
        <f>Sheet1!L101</f>
        <v>There is something wrong with the description of this lodge on the web site.  It implies the shelter was on Camels Hump but in fact was near the new Sunrise Shelter (see Sunrise Shelters).  This is actually the first sunrise shelter, and then later part of the Sunrise Shelters. but early on called Goshen Lodge. </v>
      </c>
      <c r="M101" s="39" t="s">
        <v>701</v>
      </c>
      <c r="N101" s="3" t="str">
        <f>Sheet1!B101</f>
        <v>goshen-lodge</v>
      </c>
      <c r="O101" s="39" t="s">
        <v>702</v>
      </c>
    </row>
    <row r="102">
      <c r="A102" s="1" t="s">
        <v>695</v>
      </c>
      <c r="B102" s="3" t="str">
        <f>Sheet1!C102</f>
        <v>Govenor Clement Shelter</v>
      </c>
      <c r="C102" s="39" t="s">
        <v>696</v>
      </c>
      <c r="D102" s="3">
        <f>Sheet1!D102</f>
        <v>1929</v>
      </c>
      <c r="E102" s="1" t="s">
        <v>697</v>
      </c>
      <c r="F102" s="3" t="str">
        <f>Sheet1!E102</f>
        <v/>
      </c>
      <c r="G102" s="1" t="s">
        <v>698</v>
      </c>
      <c r="H102" s="3">
        <f>IF(Sheet1!K102, 1, 0)
</f>
        <v>1</v>
      </c>
      <c r="I102" s="39" t="s">
        <v>699</v>
      </c>
      <c r="J102" s="3" t="str">
        <f>Sheet1!J102</f>
        <v>Stone Lean-to</v>
      </c>
      <c r="K102" s="39" t="s">
        <v>700</v>
      </c>
      <c r="L102" s="3" t="str">
        <f>Sheet1!L102</f>
        <v/>
      </c>
      <c r="M102" s="39" t="s">
        <v>701</v>
      </c>
      <c r="N102" s="3" t="str">
        <f>Sheet1!B102</f>
        <v>govenor-clement-shelter</v>
      </c>
      <c r="O102" s="39" t="s">
        <v>702</v>
      </c>
    </row>
    <row r="103">
      <c r="A103" s="1" t="s">
        <v>695</v>
      </c>
      <c r="B103" s="3" t="str">
        <f>Sheet1!C103</f>
        <v>Greenwall Shelter 1st</v>
      </c>
      <c r="C103" s="39" t="s">
        <v>696</v>
      </c>
      <c r="D103" s="3">
        <f>Sheet1!D103</f>
        <v>1937</v>
      </c>
      <c r="E103" s="1" t="s">
        <v>697</v>
      </c>
      <c r="F103" s="3">
        <f>Sheet1!E103</f>
        <v>1960</v>
      </c>
      <c r="G103" s="1" t="s">
        <v>698</v>
      </c>
      <c r="H103" s="3">
        <f>IF(Sheet1!K103, 1, 0)
</f>
        <v>1</v>
      </c>
      <c r="I103" s="39" t="s">
        <v>699</v>
      </c>
      <c r="J103" s="3" t="str">
        <f>Sheet1!J103</f>
        <v>Log Lean-to</v>
      </c>
      <c r="K103" s="39" t="s">
        <v>700</v>
      </c>
      <c r="L103" s="3" t="str">
        <f>Sheet1!L103</f>
        <v/>
      </c>
      <c r="M103" s="39" t="s">
        <v>701</v>
      </c>
      <c r="N103" s="3" t="str">
        <f>Sheet1!B103</f>
        <v>greenwall-shelter-1</v>
      </c>
      <c r="O103" s="39" t="s">
        <v>702</v>
      </c>
    </row>
    <row r="104">
      <c r="A104" s="1" t="s">
        <v>695</v>
      </c>
      <c r="B104" s="3" t="str">
        <f>Sheet1!C104</f>
        <v>Greenwall Shelter 2nd</v>
      </c>
      <c r="C104" s="39" t="s">
        <v>696</v>
      </c>
      <c r="D104" s="3">
        <f>Sheet1!D104</f>
        <v>1962</v>
      </c>
      <c r="E104" s="1" t="s">
        <v>697</v>
      </c>
      <c r="F104" s="3" t="str">
        <f>Sheet1!E104</f>
        <v/>
      </c>
      <c r="G104" s="1" t="s">
        <v>698</v>
      </c>
      <c r="H104" s="3">
        <f>IF(Sheet1!K104, 1, 0)
</f>
        <v>1</v>
      </c>
      <c r="I104" s="39" t="s">
        <v>699</v>
      </c>
      <c r="J104" s="3" t="str">
        <f>Sheet1!J104</f>
        <v>Frame lean-to</v>
      </c>
      <c r="K104" s="39" t="s">
        <v>700</v>
      </c>
      <c r="L104" s="3" t="str">
        <f>Sheet1!L104</f>
        <v/>
      </c>
      <c r="M104" s="39" t="s">
        <v>701</v>
      </c>
      <c r="N104" s="3" t="str">
        <f>Sheet1!B104</f>
        <v>greenwall-shelter-2</v>
      </c>
      <c r="O104" s="39" t="s">
        <v>702</v>
      </c>
    </row>
    <row r="105">
      <c r="A105" s="1" t="s">
        <v>695</v>
      </c>
      <c r="B105" s="3" t="str">
        <f>Sheet1!C105</f>
        <v>Gren Anderson Shelter</v>
      </c>
      <c r="C105" s="39" t="s">
        <v>696</v>
      </c>
      <c r="D105" s="3">
        <f>Sheet1!D105</f>
        <v>1959</v>
      </c>
      <c r="E105" s="1" t="s">
        <v>697</v>
      </c>
      <c r="F105" s="3" t="str">
        <f>Sheet1!E105</f>
        <v/>
      </c>
      <c r="G105" s="1" t="s">
        <v>698</v>
      </c>
      <c r="H105" s="3">
        <f>IF(Sheet1!K105, 1, 0)
</f>
        <v>1</v>
      </c>
      <c r="I105" s="39" t="s">
        <v>699</v>
      </c>
      <c r="J105" s="3" t="str">
        <f>Sheet1!J105</f>
        <v>Log Lean-to</v>
      </c>
      <c r="K105" s="39" t="s">
        <v>700</v>
      </c>
      <c r="L105" s="3" t="str">
        <f>Sheet1!L105</f>
        <v/>
      </c>
      <c r="M105" s="39" t="s">
        <v>701</v>
      </c>
      <c r="N105" s="3" t="str">
        <f>Sheet1!B105</f>
        <v>gren-anderson-shelter</v>
      </c>
      <c r="O105" s="39" t="s">
        <v>702</v>
      </c>
    </row>
    <row r="106">
      <c r="A106" s="1" t="s">
        <v>695</v>
      </c>
      <c r="B106" s="3" t="str">
        <f>Sheet1!C106</f>
        <v>Griffith Camp 1st</v>
      </c>
      <c r="C106" s="39" t="s">
        <v>696</v>
      </c>
      <c r="D106" s="3">
        <f>Sheet1!D106</f>
        <v>1920</v>
      </c>
      <c r="E106" s="1" t="s">
        <v>697</v>
      </c>
      <c r="F106" s="3">
        <f>Sheet1!E106</f>
        <v>1924</v>
      </c>
      <c r="G106" s="1" t="s">
        <v>698</v>
      </c>
      <c r="H106" s="3">
        <f>IF(Sheet1!K106, 1, 0)
</f>
        <v>0</v>
      </c>
      <c r="I106" s="39" t="s">
        <v>699</v>
      </c>
      <c r="J106" s="3" t="str">
        <f>Sheet1!J106</f>
        <v>Abandoned wood buildings</v>
      </c>
      <c r="K106" s="39" t="s">
        <v>700</v>
      </c>
      <c r="L106" s="3" t="str">
        <f>Sheet1!L106</f>
        <v>Old Griffith logging village</v>
      </c>
      <c r="M106" s="39" t="s">
        <v>701</v>
      </c>
      <c r="N106" s="3" t="str">
        <f>Sheet1!B106</f>
        <v>griffith-camp-1</v>
      </c>
      <c r="O106" s="39" t="s">
        <v>702</v>
      </c>
    </row>
    <row r="107">
      <c r="A107" s="1" t="s">
        <v>695</v>
      </c>
      <c r="B107" s="3" t="str">
        <f>Sheet1!C107</f>
        <v>Griffith Camp 2nd</v>
      </c>
      <c r="C107" s="39" t="s">
        <v>696</v>
      </c>
      <c r="D107" s="3">
        <f>Sheet1!D107</f>
        <v>1924</v>
      </c>
      <c r="E107" s="1" t="s">
        <v>697</v>
      </c>
      <c r="F107" s="3">
        <f>Sheet1!E107</f>
        <v>1935</v>
      </c>
      <c r="G107" s="1" t="s">
        <v>698</v>
      </c>
      <c r="H107" s="3">
        <f>IF(Sheet1!K107, 1, 0)
</f>
        <v>1</v>
      </c>
      <c r="I107" s="39" t="s">
        <v>699</v>
      </c>
      <c r="J107" s="3" t="str">
        <f>Sheet1!J107</f>
        <v>Wood camp</v>
      </c>
      <c r="K107" s="39" t="s">
        <v>700</v>
      </c>
      <c r="L107" s="3" t="str">
        <f>Sheet1!L107</f>
        <v/>
      </c>
      <c r="M107" s="39" t="s">
        <v>701</v>
      </c>
      <c r="N107" s="3" t="str">
        <f>Sheet1!B107</f>
        <v>griffith-camp-2</v>
      </c>
      <c r="O107" s="39" t="s">
        <v>702</v>
      </c>
    </row>
    <row r="108">
      <c r="A108" s="1" t="s">
        <v>695</v>
      </c>
      <c r="B108" s="3" t="str">
        <f>Sheet1!C108</f>
        <v>Griffith Lake House</v>
      </c>
      <c r="C108" s="39" t="s">
        <v>696</v>
      </c>
      <c r="D108" s="3">
        <f>Sheet1!D108</f>
        <v>1890</v>
      </c>
      <c r="E108" s="1" t="s">
        <v>697</v>
      </c>
      <c r="F108" s="3">
        <f>Sheet1!E108</f>
        <v>1932</v>
      </c>
      <c r="G108" s="1" t="s">
        <v>698</v>
      </c>
      <c r="H108" s="3">
        <f>IF(Sheet1!K108, 1, 0)
</f>
        <v>0</v>
      </c>
      <c r="I108" s="39" t="s">
        <v>699</v>
      </c>
      <c r="J108" s="3" t="str">
        <f>Sheet1!J108</f>
        <v>3 story wood frame lodge</v>
      </c>
      <c r="K108" s="39" t="s">
        <v>700</v>
      </c>
      <c r="L108" s="3" t="str">
        <f>Sheet1!L108</f>
        <v/>
      </c>
      <c r="M108" s="39" t="s">
        <v>701</v>
      </c>
      <c r="N108" s="3" t="str">
        <f>Sheet1!B108</f>
        <v>griffith-lake-house</v>
      </c>
      <c r="O108" s="39" t="s">
        <v>702</v>
      </c>
    </row>
    <row r="109">
      <c r="A109" s="1" t="s">
        <v>695</v>
      </c>
      <c r="B109" s="3" t="str">
        <f>Sheet1!C109</f>
        <v>Griffith Lake Shelter</v>
      </c>
      <c r="C109" s="39" t="s">
        <v>696</v>
      </c>
      <c r="D109" s="3">
        <f>Sheet1!D109</f>
        <v>1966</v>
      </c>
      <c r="E109" s="1" t="s">
        <v>697</v>
      </c>
      <c r="F109" s="3">
        <f>Sheet1!E109</f>
        <v>1975</v>
      </c>
      <c r="G109" s="1" t="s">
        <v>698</v>
      </c>
      <c r="H109" s="3">
        <f>IF(Sheet1!K109, 1, 0)
</f>
        <v>1</v>
      </c>
      <c r="I109" s="39" t="s">
        <v>699</v>
      </c>
      <c r="J109" s="3" t="str">
        <f>Sheet1!J109</f>
        <v>Wood frame lean-to</v>
      </c>
      <c r="K109" s="39" t="s">
        <v>700</v>
      </c>
      <c r="L109" s="3" t="str">
        <f>Sheet1!L109</f>
        <v/>
      </c>
      <c r="M109" s="39" t="s">
        <v>701</v>
      </c>
      <c r="N109" s="3" t="str">
        <f>Sheet1!B109</f>
        <v>griffith-lake-shelter</v>
      </c>
      <c r="O109" s="39" t="s">
        <v>702</v>
      </c>
    </row>
    <row r="110">
      <c r="A110" s="1" t="s">
        <v>695</v>
      </c>
      <c r="B110" s="3" t="str">
        <f>Sheet1!C110</f>
        <v>Griffith Lake Tenting Area</v>
      </c>
      <c r="C110" s="39" t="s">
        <v>696</v>
      </c>
      <c r="D110" s="3">
        <f>Sheet1!D110</f>
        <v>1996</v>
      </c>
      <c r="E110" s="1" t="s">
        <v>697</v>
      </c>
      <c r="F110" s="3" t="str">
        <f>Sheet1!E110</f>
        <v/>
      </c>
      <c r="G110" s="1" t="s">
        <v>698</v>
      </c>
      <c r="H110" s="3">
        <f>IF(Sheet1!K110, 1, 0)
</f>
        <v>1</v>
      </c>
      <c r="I110" s="39" t="s">
        <v>699</v>
      </c>
      <c r="J110" s="3" t="str">
        <f>Sheet1!J110</f>
        <v/>
      </c>
      <c r="K110" s="39" t="s">
        <v>700</v>
      </c>
      <c r="L110" s="3" t="str">
        <f>Sheet1!L110</f>
        <v/>
      </c>
      <c r="M110" s="39" t="s">
        <v>701</v>
      </c>
      <c r="N110" s="3" t="str">
        <f>Sheet1!B110</f>
        <v>griffith-lake-tenting-area</v>
      </c>
      <c r="O110" s="39" t="s">
        <v>702</v>
      </c>
    </row>
    <row r="111">
      <c r="A111" s="1" t="s">
        <v>695</v>
      </c>
      <c r="B111" s="3" t="str">
        <f>Sheet1!C111</f>
        <v>Griffith Shelter</v>
      </c>
      <c r="C111" s="39" t="s">
        <v>696</v>
      </c>
      <c r="D111" s="3">
        <f>Sheet1!D111</f>
        <v>1935</v>
      </c>
      <c r="E111" s="1" t="s">
        <v>697</v>
      </c>
      <c r="F111" s="3">
        <f>Sheet1!E111</f>
        <v>1966</v>
      </c>
      <c r="G111" s="1" t="s">
        <v>698</v>
      </c>
      <c r="H111" s="3">
        <f>IF(Sheet1!K111, 1, 0)
</f>
        <v>1</v>
      </c>
      <c r="I111" s="39" t="s">
        <v>699</v>
      </c>
      <c r="J111" s="3" t="str">
        <f>Sheet1!J111</f>
        <v/>
      </c>
      <c r="K111" s="39" t="s">
        <v>700</v>
      </c>
      <c r="L111" s="3" t="str">
        <f>Sheet1!L111</f>
        <v>Same as Peru Pk Shelter</v>
      </c>
      <c r="M111" s="39" t="s">
        <v>701</v>
      </c>
      <c r="N111" s="3" t="str">
        <f>Sheet1!B111</f>
        <v>griffith-shelter</v>
      </c>
      <c r="O111" s="39" t="s">
        <v>702</v>
      </c>
    </row>
    <row r="112">
      <c r="A112" s="1" t="s">
        <v>695</v>
      </c>
      <c r="B112" s="3" t="str">
        <f>Sheet1!C112</f>
        <v>Grout Job</v>
      </c>
      <c r="C112" s="39" t="s">
        <v>696</v>
      </c>
      <c r="D112" s="3">
        <f>Sheet1!D112</f>
        <v>1917</v>
      </c>
      <c r="E112" s="1" t="s">
        <v>697</v>
      </c>
      <c r="F112" s="3">
        <f>Sheet1!E112</f>
        <v>1930</v>
      </c>
      <c r="G112" s="1" t="s">
        <v>698</v>
      </c>
      <c r="H112" s="3">
        <f>IF(Sheet1!K112, 1, 0)
</f>
        <v>0</v>
      </c>
      <c r="I112" s="39" t="s">
        <v>699</v>
      </c>
      <c r="J112" s="3" t="str">
        <f>Sheet1!J112</f>
        <v>Lumber Camp</v>
      </c>
      <c r="K112" s="39" t="s">
        <v>700</v>
      </c>
      <c r="L112" s="3" t="str">
        <f>Sheet1!L112</f>
        <v/>
      </c>
      <c r="M112" s="39" t="s">
        <v>701</v>
      </c>
      <c r="N112" s="3" t="str">
        <f>Sheet1!B112</f>
        <v>grout-job</v>
      </c>
      <c r="O112" s="39" t="s">
        <v>702</v>
      </c>
    </row>
    <row r="113">
      <c r="A113" s="1" t="s">
        <v>695</v>
      </c>
      <c r="B113" s="3" t="str">
        <f>Sheet1!C113</f>
        <v>Gulf Shelter 1st</v>
      </c>
      <c r="C113" s="39" t="s">
        <v>696</v>
      </c>
      <c r="D113" s="3">
        <f>Sheet1!D113</f>
        <v>1966</v>
      </c>
      <c r="E113" s="1" t="s">
        <v>697</v>
      </c>
      <c r="F113" s="3">
        <f>Sheet1!E113</f>
        <v>1977</v>
      </c>
      <c r="G113" s="1" t="s">
        <v>698</v>
      </c>
      <c r="H113" s="3">
        <f>IF(Sheet1!K113, 1, 0)
</f>
        <v>1</v>
      </c>
      <c r="I113" s="39" t="s">
        <v>699</v>
      </c>
      <c r="J113" s="3" t="str">
        <f>Sheet1!J113</f>
        <v>Log Lean-to</v>
      </c>
      <c r="K113" s="39" t="s">
        <v>700</v>
      </c>
      <c r="L113" s="3" t="str">
        <f>Sheet1!L113</f>
        <v>See Winturi Shelter 1</v>
      </c>
      <c r="M113" s="39" t="s">
        <v>701</v>
      </c>
      <c r="N113" s="3" t="str">
        <f>Sheet1!B113</f>
        <v>gulf-shelter</v>
      </c>
      <c r="O113" s="39" t="s">
        <v>702</v>
      </c>
    </row>
    <row r="114">
      <c r="A114" s="1" t="s">
        <v>695</v>
      </c>
      <c r="B114" s="3" t="str">
        <f>Sheet1!C114</f>
        <v>Gulf Shelter 2nd</v>
      </c>
      <c r="C114" s="39" t="s">
        <v>696</v>
      </c>
      <c r="D114" s="3">
        <f>Sheet1!D114</f>
        <v>1977</v>
      </c>
      <c r="E114" s="1" t="s">
        <v>697</v>
      </c>
      <c r="F114" s="3">
        <f>Sheet1!E114</f>
        <v>1983</v>
      </c>
      <c r="G114" s="1" t="s">
        <v>698</v>
      </c>
      <c r="H114" s="3">
        <f>IF(Sheet1!K114, 1, 0)
</f>
        <v>1</v>
      </c>
      <c r="I114" s="39" t="s">
        <v>699</v>
      </c>
      <c r="J114" s="3" t="str">
        <f>Sheet1!J114</f>
        <v>Log Lean-to</v>
      </c>
      <c r="K114" s="39" t="s">
        <v>700</v>
      </c>
      <c r="L114" s="3" t="str">
        <f>Sheet1!L114</f>
        <v/>
      </c>
      <c r="M114" s="39" t="s">
        <v>701</v>
      </c>
      <c r="N114" s="3" t="str">
        <f>Sheet1!B114</f>
        <v>gulf-shelter</v>
      </c>
      <c r="O114" s="39" t="s">
        <v>702</v>
      </c>
    </row>
    <row r="115">
      <c r="A115" s="1" t="s">
        <v>695</v>
      </c>
      <c r="B115" s="3" t="str">
        <f>Sheet1!C115</f>
        <v>Hapgood Pond Forest Camp</v>
      </c>
      <c r="C115" s="39" t="s">
        <v>696</v>
      </c>
      <c r="D115" s="3">
        <f>Sheet1!D115</f>
        <v>1936</v>
      </c>
      <c r="E115" s="1" t="s">
        <v>697</v>
      </c>
      <c r="F115" s="3" t="str">
        <f>Sheet1!E115</f>
        <v/>
      </c>
      <c r="G115" s="1" t="s">
        <v>698</v>
      </c>
      <c r="H115" s="3">
        <f>IF(Sheet1!K115, 1, 0)
</f>
        <v>0</v>
      </c>
      <c r="I115" s="39" t="s">
        <v>699</v>
      </c>
      <c r="J115" s="3" t="str">
        <f>Sheet1!J115</f>
        <v/>
      </c>
      <c r="K115" s="39" t="s">
        <v>700</v>
      </c>
      <c r="L115" s="3" t="str">
        <f>Sheet1!L115</f>
        <v/>
      </c>
      <c r="M115" s="39" t="s">
        <v>701</v>
      </c>
      <c r="N115" s="3" t="str">
        <f>Sheet1!B115</f>
        <v>hapgood-pond-forest-camp</v>
      </c>
      <c r="O115" s="39" t="s">
        <v>702</v>
      </c>
    </row>
    <row r="116">
      <c r="A116" s="1" t="s">
        <v>695</v>
      </c>
      <c r="B116" s="3" t="str">
        <f>Sheet1!C116</f>
        <v>Happy Hill Shelter</v>
      </c>
      <c r="C116" s="39" t="s">
        <v>696</v>
      </c>
      <c r="D116" s="3">
        <f>Sheet1!D116</f>
        <v>1998</v>
      </c>
      <c r="E116" s="1" t="s">
        <v>697</v>
      </c>
      <c r="F116" s="3" t="str">
        <f>Sheet1!E116</f>
        <v/>
      </c>
      <c r="G116" s="1" t="s">
        <v>698</v>
      </c>
      <c r="H116" s="3">
        <f>IF(Sheet1!K116, 1, 0)
</f>
        <v>0</v>
      </c>
      <c r="I116" s="39" t="s">
        <v>699</v>
      </c>
      <c r="J116" s="3" t="str">
        <f>Sheet1!J116</f>
        <v/>
      </c>
      <c r="K116" s="39" t="s">
        <v>700</v>
      </c>
      <c r="L116" s="3" t="str">
        <f>Sheet1!L116</f>
        <v/>
      </c>
      <c r="M116" s="39" t="s">
        <v>701</v>
      </c>
      <c r="N116" s="3" t="str">
        <f>Sheet1!B116</f>
        <v>happy-hill-shelter</v>
      </c>
      <c r="O116" s="39" t="s">
        <v>702</v>
      </c>
    </row>
    <row r="117">
      <c r="A117" s="1" t="s">
        <v>695</v>
      </c>
      <c r="B117" s="3" t="str">
        <f>Sheet1!C117</f>
        <v>Happy Hill Cabin</v>
      </c>
      <c r="C117" s="39" t="s">
        <v>696</v>
      </c>
      <c r="D117" s="3">
        <f>Sheet1!D117</f>
        <v>1918</v>
      </c>
      <c r="E117" s="1" t="s">
        <v>697</v>
      </c>
      <c r="F117" s="3">
        <f>Sheet1!E117</f>
        <v>1998</v>
      </c>
      <c r="G117" s="1" t="s">
        <v>698</v>
      </c>
      <c r="H117" s="3">
        <f>IF(Sheet1!K117, 1, 0)
</f>
        <v>0</v>
      </c>
      <c r="I117" s="39" t="s">
        <v>699</v>
      </c>
      <c r="J117" s="3" t="str">
        <f>Sheet1!J117</f>
        <v>Wooden Camp</v>
      </c>
      <c r="K117" s="39" t="s">
        <v>700</v>
      </c>
      <c r="L117" s="3" t="str">
        <f>Sheet1!L117</f>
        <v/>
      </c>
      <c r="M117" s="39" t="s">
        <v>701</v>
      </c>
      <c r="N117" s="3" t="str">
        <f>Sheet1!B117</f>
        <v>happy-hill-cabin</v>
      </c>
      <c r="O117" s="39" t="s">
        <v>702</v>
      </c>
    </row>
    <row r="118">
      <c r="A118" s="1" t="s">
        <v>695</v>
      </c>
      <c r="B118" s="3" t="str">
        <f>Sheet1!C118</f>
        <v>Hawks Camp</v>
      </c>
      <c r="C118" s="39" t="s">
        <v>696</v>
      </c>
      <c r="D118" s="3">
        <f>Sheet1!D118</f>
        <v>1917</v>
      </c>
      <c r="E118" s="1" t="s">
        <v>697</v>
      </c>
      <c r="F118" s="3">
        <f>Sheet1!E118</f>
        <v>1920</v>
      </c>
      <c r="G118" s="1" t="s">
        <v>698</v>
      </c>
      <c r="H118" s="3">
        <f>IF(Sheet1!K118, 1, 0)
</f>
        <v>0</v>
      </c>
      <c r="I118" s="39" t="s">
        <v>699</v>
      </c>
      <c r="J118" s="3" t="str">
        <f>Sheet1!J118</f>
        <v>Lumber Camp</v>
      </c>
      <c r="K118" s="39" t="s">
        <v>700</v>
      </c>
      <c r="L118" s="3" t="str">
        <f>Sheet1!L118</f>
        <v/>
      </c>
      <c r="M118" s="39" t="s">
        <v>701</v>
      </c>
      <c r="N118" s="3" t="str">
        <f>Sheet1!B118</f>
        <v>hawks-camp</v>
      </c>
      <c r="O118" s="39" t="s">
        <v>702</v>
      </c>
    </row>
    <row r="119">
      <c r="A119" s="1" t="s">
        <v>695</v>
      </c>
      <c r="B119" s="3" t="str">
        <f>Sheet1!C119</f>
        <v>Hazen's Notch Camp 1st</v>
      </c>
      <c r="C119" s="39" t="s">
        <v>696</v>
      </c>
      <c r="D119" s="3">
        <f>Sheet1!D119</f>
        <v>1948</v>
      </c>
      <c r="E119" s="1" t="s">
        <v>697</v>
      </c>
      <c r="F119" s="3">
        <f>Sheet1!E119</f>
        <v>1997</v>
      </c>
      <c r="G119" s="1" t="s">
        <v>698</v>
      </c>
      <c r="H119" s="3">
        <f>IF(Sheet1!K119, 1, 0)
</f>
        <v>1</v>
      </c>
      <c r="I119" s="39" t="s">
        <v>699</v>
      </c>
      <c r="J119" s="3" t="str">
        <f>Sheet1!J119</f>
        <v>Buchanan</v>
      </c>
      <c r="K119" s="39" t="s">
        <v>700</v>
      </c>
      <c r="L119" s="3" t="str">
        <f>Sheet1!L119</f>
        <v>44.84236715942986, -72.53081036159001</v>
      </c>
      <c r="M119" s="39" t="s">
        <v>701</v>
      </c>
      <c r="N119" s="3" t="str">
        <f>Sheet1!B119</f>
        <v>hazens-notch-camp</v>
      </c>
      <c r="O119" s="39" t="s">
        <v>702</v>
      </c>
    </row>
    <row r="120">
      <c r="A120" s="1" t="s">
        <v>695</v>
      </c>
      <c r="B120" s="3" t="str">
        <f>Sheet1!C120</f>
        <v>Hazen's Notch Camp 2nd</v>
      </c>
      <c r="C120" s="39" t="s">
        <v>696</v>
      </c>
      <c r="D120" s="3">
        <f>Sheet1!D120</f>
        <v>1998</v>
      </c>
      <c r="E120" s="1" t="s">
        <v>697</v>
      </c>
      <c r="F120" s="3" t="str">
        <f>Sheet1!E120</f>
        <v/>
      </c>
      <c r="G120" s="1" t="s">
        <v>698</v>
      </c>
      <c r="H120" s="3">
        <f>IF(Sheet1!K120, 1, 0)
</f>
        <v>1</v>
      </c>
      <c r="I120" s="39" t="s">
        <v>699</v>
      </c>
      <c r="J120" s="3" t="str">
        <f>Sheet1!J120</f>
        <v>Buchanan</v>
      </c>
      <c r="K120" s="39" t="s">
        <v>700</v>
      </c>
      <c r="L120" s="3" t="str">
        <f>Sheet1!L120</f>
        <v>Moved by VYCC in 1998</v>
      </c>
      <c r="M120" s="39" t="s">
        <v>701</v>
      </c>
      <c r="N120" s="3" t="str">
        <f>Sheet1!B120</f>
        <v>hazens-notch-camp</v>
      </c>
      <c r="O120" s="39" t="s">
        <v>702</v>
      </c>
    </row>
    <row r="121">
      <c r="A121" s="1" t="s">
        <v>695</v>
      </c>
      <c r="B121" s="3" t="str">
        <f>Sheet1!C121</f>
        <v>Headwaters Camp</v>
      </c>
      <c r="C121" s="39" t="s">
        <v>696</v>
      </c>
      <c r="D121" s="3">
        <f>Sheet1!D121</f>
        <v>2015</v>
      </c>
      <c r="E121" s="1" t="s">
        <v>697</v>
      </c>
      <c r="F121" s="3">
        <f>Sheet1!E121</f>
        <v>2021</v>
      </c>
      <c r="G121" s="1" t="s">
        <v>698</v>
      </c>
      <c r="H121" s="3">
        <f>IF(Sheet1!K121, 1, 0)
</f>
        <v>1</v>
      </c>
      <c r="I121" s="39" t="s">
        <v>699</v>
      </c>
      <c r="J121" s="3" t="str">
        <f>Sheet1!J121</f>
        <v/>
      </c>
      <c r="K121" s="39" t="s">
        <v>700</v>
      </c>
      <c r="L121" s="3" t="str">
        <f>Sheet1!L121</f>
        <v>Sold in 2021</v>
      </c>
      <c r="M121" s="39" t="s">
        <v>701</v>
      </c>
      <c r="N121" s="3" t="str">
        <f>Sheet1!B121</f>
        <v>headwaters-camp</v>
      </c>
      <c r="O121" s="39" t="s">
        <v>702</v>
      </c>
    </row>
    <row r="122">
      <c r="A122" s="1" t="s">
        <v>695</v>
      </c>
      <c r="B122" s="3" t="str">
        <f>Sheet1!C122</f>
        <v>Hell Hollow Camp</v>
      </c>
      <c r="C122" s="39" t="s">
        <v>696</v>
      </c>
      <c r="D122" s="3">
        <f>Sheet1!D122</f>
        <v>1915</v>
      </c>
      <c r="E122" s="1" t="s">
        <v>697</v>
      </c>
      <c r="F122" s="3">
        <f>Sheet1!E122</f>
        <v>1930</v>
      </c>
      <c r="G122" s="1" t="s">
        <v>698</v>
      </c>
      <c r="H122" s="3">
        <f>IF(Sheet1!K122, 1, 0)
</f>
        <v>1</v>
      </c>
      <c r="I122" s="39" t="s">
        <v>699</v>
      </c>
      <c r="J122" s="3" t="str">
        <f>Sheet1!J122</f>
        <v>Wooden Camp</v>
      </c>
      <c r="K122" s="39" t="s">
        <v>700</v>
      </c>
      <c r="L122" s="3" t="str">
        <f>Sheet1!L122</f>
        <v/>
      </c>
      <c r="M122" s="39" t="s">
        <v>701</v>
      </c>
      <c r="N122" s="3" t="str">
        <f>Sheet1!B122</f>
        <v>hell-hollow-camp</v>
      </c>
      <c r="O122" s="39" t="s">
        <v>702</v>
      </c>
    </row>
    <row r="123">
      <c r="A123" s="1" t="s">
        <v>695</v>
      </c>
      <c r="B123" s="3" t="str">
        <f>Sheet1!C123</f>
        <v>Henry Davis Farm</v>
      </c>
      <c r="C123" s="39" t="s">
        <v>696</v>
      </c>
      <c r="D123" s="3">
        <f>Sheet1!D123</f>
        <v>1920</v>
      </c>
      <c r="E123" s="1" t="s">
        <v>697</v>
      </c>
      <c r="F123" s="3">
        <f>Sheet1!E123</f>
        <v>1939</v>
      </c>
      <c r="G123" s="1" t="s">
        <v>698</v>
      </c>
      <c r="H123" s="3">
        <f>IF(Sheet1!K123, 1, 0)
</f>
        <v>0</v>
      </c>
      <c r="I123" s="39" t="s">
        <v>699</v>
      </c>
      <c r="J123" s="3" t="str">
        <f>Sheet1!J123</f>
        <v/>
      </c>
      <c r="K123" s="39" t="s">
        <v>700</v>
      </c>
      <c r="L123" s="3" t="str">
        <f>Sheet1!L123</f>
        <v/>
      </c>
      <c r="M123" s="39" t="s">
        <v>701</v>
      </c>
      <c r="N123" s="3" t="str">
        <f>Sheet1!B123</f>
        <v>henry-davis-farm</v>
      </c>
      <c r="O123" s="39" t="s">
        <v>702</v>
      </c>
    </row>
    <row r="124">
      <c r="A124" s="1" t="s">
        <v>695</v>
      </c>
      <c r="B124" s="3" t="str">
        <f>Sheet1!C124</f>
        <v>Hobbit Hut</v>
      </c>
      <c r="C124" s="39" t="s">
        <v>696</v>
      </c>
      <c r="D124" s="3">
        <f>Sheet1!D124</f>
        <v>1970</v>
      </c>
      <c r="E124" s="1" t="s">
        <v>697</v>
      </c>
      <c r="F124" s="3">
        <f>Sheet1!E124</f>
        <v>1975</v>
      </c>
      <c r="G124" s="1" t="s">
        <v>698</v>
      </c>
      <c r="H124" s="3">
        <f>IF(Sheet1!K124, 1, 0)
</f>
        <v>0</v>
      </c>
      <c r="I124" s="39" t="s">
        <v>699</v>
      </c>
      <c r="J124" s="3" t="str">
        <f>Sheet1!J124</f>
        <v>Wooden Camp</v>
      </c>
      <c r="K124" s="39" t="s">
        <v>700</v>
      </c>
      <c r="L124" s="3" t="str">
        <f>Sheet1!L124</f>
        <v>Opposite Wayside Rd/old AT route</v>
      </c>
      <c r="M124" s="39" t="s">
        <v>701</v>
      </c>
      <c r="N124" s="3" t="str">
        <f>Sheet1!B124</f>
        <v>hobbit-hut</v>
      </c>
      <c r="O124" s="39" t="s">
        <v>702</v>
      </c>
    </row>
    <row r="125">
      <c r="A125" s="1" t="s">
        <v>695</v>
      </c>
      <c r="B125" s="3" t="str">
        <f>Sheet1!C125</f>
        <v>Honey Hollow Tenting Area</v>
      </c>
      <c r="C125" s="39" t="s">
        <v>696</v>
      </c>
      <c r="D125" s="3">
        <f>Sheet1!D125</f>
        <v>1983</v>
      </c>
      <c r="E125" s="1" t="s">
        <v>697</v>
      </c>
      <c r="F125" s="3">
        <f>Sheet1!E125</f>
        <v>1996</v>
      </c>
      <c r="G125" s="1" t="s">
        <v>698</v>
      </c>
      <c r="H125" s="3">
        <f>IF(Sheet1!K125, 1, 0)
</f>
        <v>1</v>
      </c>
      <c r="I125" s="39" t="s">
        <v>699</v>
      </c>
      <c r="J125" s="3" t="str">
        <f>Sheet1!J125</f>
        <v>Tenting area</v>
      </c>
      <c r="K125" s="39" t="s">
        <v>700</v>
      </c>
      <c r="L125" s="3" t="str">
        <f>Sheet1!L125</f>
        <v/>
      </c>
      <c r="M125" s="39" t="s">
        <v>701</v>
      </c>
      <c r="N125" s="3" t="str">
        <f>Sheet1!B125</f>
        <v>honey-hollow-tenting-area</v>
      </c>
      <c r="O125" s="39" t="s">
        <v>702</v>
      </c>
    </row>
    <row r="126">
      <c r="A126" s="1" t="s">
        <v>695</v>
      </c>
      <c r="B126" s="3" t="str">
        <f>Sheet1!C126</f>
        <v>Honted House Camp</v>
      </c>
      <c r="C126" s="39" t="s">
        <v>696</v>
      </c>
      <c r="D126" s="3">
        <f>Sheet1!D126</f>
        <v>1924</v>
      </c>
      <c r="E126" s="1" t="s">
        <v>697</v>
      </c>
      <c r="F126" s="3">
        <f>Sheet1!E126</f>
        <v>1931</v>
      </c>
      <c r="G126" s="1" t="s">
        <v>698</v>
      </c>
      <c r="H126" s="3">
        <f>IF(Sheet1!K126, 1, 0)
</f>
        <v>0</v>
      </c>
      <c r="I126" s="39" t="s">
        <v>699</v>
      </c>
      <c r="J126" s="3" t="str">
        <f>Sheet1!J126</f>
        <v>Wooden Camp</v>
      </c>
      <c r="K126" s="39" t="s">
        <v>700</v>
      </c>
      <c r="L126" s="3" t="str">
        <f>Sheet1!L126</f>
        <v/>
      </c>
      <c r="M126" s="39" t="s">
        <v>701</v>
      </c>
      <c r="N126" s="3" t="str">
        <f>Sheet1!B126</f>
        <v>honted-house-camp</v>
      </c>
      <c r="O126" s="39" t="s">
        <v>702</v>
      </c>
    </row>
    <row r="127">
      <c r="A127" s="1" t="s">
        <v>695</v>
      </c>
      <c r="B127" s="3" t="str">
        <f>Sheet1!C127</f>
        <v>Hump Brook Tenting Area</v>
      </c>
      <c r="C127" s="39" t="s">
        <v>696</v>
      </c>
      <c r="D127" s="3">
        <f>Sheet1!D127</f>
        <v>1990</v>
      </c>
      <c r="E127" s="1" t="s">
        <v>697</v>
      </c>
      <c r="F127" s="3" t="str">
        <f>Sheet1!E127</f>
        <v/>
      </c>
      <c r="G127" s="1" t="s">
        <v>698</v>
      </c>
      <c r="H127" s="3">
        <f>IF(Sheet1!K127, 1, 0)
</f>
        <v>1</v>
      </c>
      <c r="I127" s="39" t="s">
        <v>699</v>
      </c>
      <c r="J127" s="3" t="str">
        <f>Sheet1!J127</f>
        <v>Tenting Area</v>
      </c>
      <c r="K127" s="39" t="s">
        <v>700</v>
      </c>
      <c r="L127" s="3" t="str">
        <f>Sheet1!L127</f>
        <v/>
      </c>
      <c r="M127" s="39" t="s">
        <v>701</v>
      </c>
      <c r="N127" s="3" t="str">
        <f>Sheet1!B127</f>
        <v>hump-brook-tenting-area</v>
      </c>
      <c r="O127" s="39" t="s">
        <v>702</v>
      </c>
    </row>
    <row r="128">
      <c r="A128" s="1" t="s">
        <v>695</v>
      </c>
      <c r="B128" s="3" t="str">
        <f>Sheet1!C128</f>
        <v>Inn at Long Trail</v>
      </c>
      <c r="C128" s="39" t="s">
        <v>696</v>
      </c>
      <c r="D128" s="3">
        <f>Sheet1!D128</f>
        <v>1977</v>
      </c>
      <c r="E128" s="1" t="s">
        <v>697</v>
      </c>
      <c r="F128" s="3" t="str">
        <f>Sheet1!E128</f>
        <v/>
      </c>
      <c r="G128" s="1" t="s">
        <v>698</v>
      </c>
      <c r="H128" s="3">
        <f>IF(Sheet1!K128, 1, 0)
</f>
        <v>1</v>
      </c>
      <c r="I128" s="39" t="s">
        <v>699</v>
      </c>
      <c r="J128" s="3" t="str">
        <f>Sheet1!J128</f>
        <v>Original GMC HQ Ski Cabin</v>
      </c>
      <c r="K128" s="39" t="s">
        <v>700</v>
      </c>
      <c r="L128" s="3" t="str">
        <f>Sheet1!L128</f>
        <v>Modified from Original building</v>
      </c>
      <c r="M128" s="39" t="s">
        <v>701</v>
      </c>
      <c r="N128" s="3" t="str">
        <f>Sheet1!B128</f>
        <v>inn-at-long-trail</v>
      </c>
      <c r="O128" s="39" t="s">
        <v>702</v>
      </c>
    </row>
    <row r="129">
      <c r="A129" s="1" t="s">
        <v>695</v>
      </c>
      <c r="B129" s="3" t="str">
        <f>Sheet1!C129</f>
        <v>Jay Camp 1st</v>
      </c>
      <c r="C129" s="39" t="s">
        <v>696</v>
      </c>
      <c r="D129" s="3">
        <f>Sheet1!D129</f>
        <v>1936</v>
      </c>
      <c r="E129" s="1" t="s">
        <v>697</v>
      </c>
      <c r="F129" s="3">
        <f>Sheet1!E129</f>
        <v>1957</v>
      </c>
      <c r="G129" s="1" t="s">
        <v>698</v>
      </c>
      <c r="H129" s="3">
        <f>IF(Sheet1!K129, 1, 0)
</f>
        <v>1</v>
      </c>
      <c r="I129" s="39" t="s">
        <v>699</v>
      </c>
      <c r="J129" s="3" t="str">
        <f>Sheet1!J129</f>
        <v/>
      </c>
      <c r="K129" s="39" t="s">
        <v>700</v>
      </c>
      <c r="L129" s="3" t="str">
        <f>Sheet1!L129</f>
        <v>on Rte 242 path</v>
      </c>
      <c r="M129" s="39" t="s">
        <v>701</v>
      </c>
      <c r="N129" s="3" t="str">
        <f>Sheet1!B129</f>
        <v>jay-camp-1</v>
      </c>
      <c r="O129" s="39" t="s">
        <v>702</v>
      </c>
    </row>
    <row r="130">
      <c r="A130" s="1" t="s">
        <v>695</v>
      </c>
      <c r="B130" s="3" t="str">
        <f>Sheet1!C130</f>
        <v>Jay Camp 2nd</v>
      </c>
      <c r="C130" s="39" t="s">
        <v>696</v>
      </c>
      <c r="D130" s="3">
        <f>Sheet1!D130</f>
        <v>1958</v>
      </c>
      <c r="E130" s="1" t="s">
        <v>697</v>
      </c>
      <c r="F130" s="3" t="str">
        <f>Sheet1!E130</f>
        <v/>
      </c>
      <c r="G130" s="1" t="s">
        <v>698</v>
      </c>
      <c r="H130" s="3">
        <f>IF(Sheet1!K130, 1, 0)
</f>
        <v>1</v>
      </c>
      <c r="I130" s="39" t="s">
        <v>699</v>
      </c>
      <c r="J130" s="3" t="str">
        <f>Sheet1!J130</f>
        <v/>
      </c>
      <c r="K130" s="39" t="s">
        <v>700</v>
      </c>
      <c r="L130" s="3" t="str">
        <f>Sheet1!L130</f>
        <v>.3 m west of Rte 242</v>
      </c>
      <c r="M130" s="39" t="s">
        <v>701</v>
      </c>
      <c r="N130" s="3" t="str">
        <f>Sheet1!B130</f>
        <v>jay-camp-2</v>
      </c>
      <c r="O130" s="39" t="s">
        <v>702</v>
      </c>
    </row>
    <row r="131">
      <c r="A131" s="1" t="s">
        <v>695</v>
      </c>
      <c r="B131" s="3" t="str">
        <f>Sheet1!C131</f>
        <v>Journeys End 1st</v>
      </c>
      <c r="C131" s="39" t="s">
        <v>696</v>
      </c>
      <c r="D131" s="3">
        <f>Sheet1!D131</f>
        <v>1931</v>
      </c>
      <c r="E131" s="1" t="s">
        <v>697</v>
      </c>
      <c r="F131" s="3">
        <f>Sheet1!E131</f>
        <v>2004</v>
      </c>
      <c r="G131" s="1" t="s">
        <v>698</v>
      </c>
      <c r="H131" s="3">
        <f>IF(Sheet1!K131, 1, 0)
</f>
        <v>1</v>
      </c>
      <c r="I131" s="39" t="s">
        <v>699</v>
      </c>
      <c r="J131" s="3" t="str">
        <f>Sheet1!J131</f>
        <v>Buchanan</v>
      </c>
      <c r="K131" s="39" t="s">
        <v>700</v>
      </c>
      <c r="L131" s="3" t="str">
        <f>Sheet1!L131</f>
        <v>Dates according to guidebook 28Ed</v>
      </c>
      <c r="M131" s="39" t="s">
        <v>701</v>
      </c>
      <c r="N131" s="3" t="str">
        <f>Sheet1!B131</f>
        <v>journeys-end-1</v>
      </c>
      <c r="O131" s="39" t="s">
        <v>702</v>
      </c>
    </row>
    <row r="132">
      <c r="A132" s="1" t="s">
        <v>695</v>
      </c>
      <c r="B132" s="3" t="str">
        <f>Sheet1!C132</f>
        <v>Journeys End 2nd</v>
      </c>
      <c r="C132" s="39" t="s">
        <v>696</v>
      </c>
      <c r="D132" s="3">
        <f>Sheet1!D132</f>
        <v>2003</v>
      </c>
      <c r="E132" s="1" t="s">
        <v>697</v>
      </c>
      <c r="F132" s="3" t="str">
        <f>Sheet1!E132</f>
        <v/>
      </c>
      <c r="G132" s="1" t="s">
        <v>698</v>
      </c>
      <c r="H132" s="3">
        <f>IF(Sheet1!K132, 1, 0)
</f>
        <v>1</v>
      </c>
      <c r="I132" s="39" t="s">
        <v>699</v>
      </c>
      <c r="J132" s="3" t="str">
        <f>Sheet1!J132</f>
        <v>Buchanan</v>
      </c>
      <c r="K132" s="39" t="s">
        <v>700</v>
      </c>
      <c r="L132" s="3" t="str">
        <f>Sheet1!L132</f>
        <v>Dates according to guidebook 28Ed</v>
      </c>
      <c r="M132" s="39" t="s">
        <v>701</v>
      </c>
      <c r="N132" s="3" t="str">
        <f>Sheet1!B132</f>
        <v>journeys-end-2</v>
      </c>
      <c r="O132" s="39" t="s">
        <v>702</v>
      </c>
    </row>
    <row r="133">
      <c r="A133" s="1" t="s">
        <v>695</v>
      </c>
      <c r="B133" s="3" t="str">
        <f>Sheet1!C133</f>
        <v>Kelly Stand</v>
      </c>
      <c r="C133" s="39" t="s">
        <v>696</v>
      </c>
      <c r="D133" s="3">
        <f>Sheet1!D133</f>
        <v>1917</v>
      </c>
      <c r="E133" s="1" t="s">
        <v>697</v>
      </c>
      <c r="F133" s="3">
        <f>Sheet1!E133</f>
        <v>1920</v>
      </c>
      <c r="G133" s="1" t="s">
        <v>698</v>
      </c>
      <c r="H133" s="3">
        <f>IF(Sheet1!K133, 1, 0)
</f>
        <v>0</v>
      </c>
      <c r="I133" s="39" t="s">
        <v>699</v>
      </c>
      <c r="J133" s="3" t="str">
        <f>Sheet1!J133</f>
        <v>Lumber Camp</v>
      </c>
      <c r="K133" s="39" t="s">
        <v>700</v>
      </c>
      <c r="L133" s="3" t="str">
        <f>Sheet1!L133</f>
        <v/>
      </c>
      <c r="M133" s="39" t="s">
        <v>701</v>
      </c>
      <c r="N133" s="3" t="str">
        <f>Sheet1!B133</f>
        <v>kelly-stand</v>
      </c>
      <c r="O133" s="39" t="s">
        <v>702</v>
      </c>
    </row>
    <row r="134">
      <c r="A134" s="1" t="s">
        <v>695</v>
      </c>
      <c r="B134" s="3" t="str">
        <f>Sheet1!C134</f>
        <v>Kid Gore Shelter</v>
      </c>
      <c r="C134" s="39" t="s">
        <v>696</v>
      </c>
      <c r="D134" s="3">
        <f>Sheet1!D134</f>
        <v>1971</v>
      </c>
      <c r="E134" s="1" t="s">
        <v>697</v>
      </c>
      <c r="F134" s="3" t="str">
        <f>Sheet1!E134</f>
        <v/>
      </c>
      <c r="G134" s="1" t="s">
        <v>698</v>
      </c>
      <c r="H134" s="3">
        <f>IF(Sheet1!K134, 1, 0)
</f>
        <v>1</v>
      </c>
      <c r="I134" s="39" t="s">
        <v>699</v>
      </c>
      <c r="J134" s="3" t="str">
        <f>Sheet1!J134</f>
        <v>Log Lean-to</v>
      </c>
      <c r="K134" s="39" t="s">
        <v>700</v>
      </c>
      <c r="L134" s="3" t="str">
        <f>Sheet1!L134</f>
        <v/>
      </c>
      <c r="M134" s="39" t="s">
        <v>701</v>
      </c>
      <c r="N134" s="3" t="str">
        <f>Sheet1!B134</f>
        <v>kid-gore-shelter</v>
      </c>
      <c r="O134" s="39" t="s">
        <v>702</v>
      </c>
    </row>
    <row r="135">
      <c r="A135" s="1" t="s">
        <v>695</v>
      </c>
      <c r="B135" s="3" t="str">
        <f>Sheet1!C135</f>
        <v>Killington Camp</v>
      </c>
      <c r="C135" s="39" t="s">
        <v>696</v>
      </c>
      <c r="D135" s="3">
        <f>Sheet1!D135</f>
        <v>1917</v>
      </c>
      <c r="E135" s="1" t="s">
        <v>697</v>
      </c>
      <c r="F135" s="3">
        <f>Sheet1!E135</f>
        <v>1937</v>
      </c>
      <c r="G135" s="1" t="s">
        <v>698</v>
      </c>
      <c r="H135" s="3">
        <f>IF(Sheet1!K135, 1, 0)
</f>
        <v>1</v>
      </c>
      <c r="I135" s="39" t="s">
        <v>699</v>
      </c>
      <c r="J135" s="3" t="str">
        <f>Sheet1!J135</f>
        <v>Round steel camp</v>
      </c>
      <c r="K135" s="39" t="s">
        <v>700</v>
      </c>
      <c r="L135" s="3" t="str">
        <f>Sheet1!L135</f>
        <v/>
      </c>
      <c r="M135" s="39" t="s">
        <v>701</v>
      </c>
      <c r="N135" s="3" t="str">
        <f>Sheet1!B135</f>
        <v>killington-camp</v>
      </c>
      <c r="O135" s="39" t="s">
        <v>702</v>
      </c>
    </row>
    <row r="136">
      <c r="A136" s="1" t="s">
        <v>695</v>
      </c>
      <c r="B136" s="3" t="str">
        <f>Sheet1!C136</f>
        <v>Kiln Camp</v>
      </c>
      <c r="C136" s="39" t="s">
        <v>696</v>
      </c>
      <c r="D136" s="3">
        <f>Sheet1!D136</f>
        <v>1924</v>
      </c>
      <c r="E136" s="1" t="s">
        <v>697</v>
      </c>
      <c r="F136" s="3">
        <f>Sheet1!E136</f>
        <v>1930</v>
      </c>
      <c r="G136" s="1" t="s">
        <v>698</v>
      </c>
      <c r="H136" s="3">
        <f>IF(Sheet1!K136, 1, 0)
</f>
        <v>0</v>
      </c>
      <c r="I136" s="39" t="s">
        <v>699</v>
      </c>
      <c r="J136" s="3" t="str">
        <f>Sheet1!J136</f>
        <v>Old Kilns with bunks</v>
      </c>
      <c r="K136" s="39" t="s">
        <v>700</v>
      </c>
      <c r="L136" s="3" t="str">
        <f>Sheet1!L136</f>
        <v>Photo of Kilns in Griffith Village (Old Job) are not this location</v>
      </c>
      <c r="M136" s="39" t="s">
        <v>701</v>
      </c>
      <c r="N136" s="3" t="str">
        <f>Sheet1!B136</f>
        <v>kiln-camp</v>
      </c>
      <c r="O136" s="39" t="s">
        <v>702</v>
      </c>
    </row>
    <row r="137">
      <c r="A137" s="1" t="s">
        <v>695</v>
      </c>
      <c r="B137" s="3" t="str">
        <f>Sheet1!C137</f>
        <v>Lake Mansfield Trout Club</v>
      </c>
      <c r="C137" s="39" t="s">
        <v>696</v>
      </c>
      <c r="D137" s="3">
        <f>Sheet1!D137</f>
        <v>1917</v>
      </c>
      <c r="E137" s="1" t="s">
        <v>697</v>
      </c>
      <c r="F137" s="3" t="str">
        <f>Sheet1!E137</f>
        <v/>
      </c>
      <c r="G137" s="1" t="s">
        <v>698</v>
      </c>
      <c r="H137" s="3">
        <f>IF(Sheet1!K137, 1, 0)
</f>
        <v>0</v>
      </c>
      <c r="I137" s="39" t="s">
        <v>699</v>
      </c>
      <c r="J137" s="3" t="str">
        <f>Sheet1!J137</f>
        <v>Summer Inn</v>
      </c>
      <c r="K137" s="39" t="s">
        <v>700</v>
      </c>
      <c r="L137" s="3" t="str">
        <f>Sheet1!L137</f>
        <v/>
      </c>
      <c r="M137" s="39" t="s">
        <v>701</v>
      </c>
      <c r="N137" s="3" t="str">
        <f>Sheet1!B137</f>
        <v>lake-mansfield-trout-club</v>
      </c>
      <c r="O137" s="39" t="s">
        <v>702</v>
      </c>
    </row>
    <row r="138">
      <c r="A138" s="1" t="s">
        <v>695</v>
      </c>
      <c r="B138" s="3" t="str">
        <f>Sheet1!C138</f>
        <v>Lake Pleiad Shelter 1st</v>
      </c>
      <c r="C138" s="39" t="s">
        <v>696</v>
      </c>
      <c r="D138" s="3">
        <f>Sheet1!D138</f>
        <v>1919</v>
      </c>
      <c r="E138" s="1" t="s">
        <v>697</v>
      </c>
      <c r="F138" s="3">
        <f>Sheet1!E138</f>
        <v>1922</v>
      </c>
      <c r="G138" s="1" t="s">
        <v>698</v>
      </c>
      <c r="H138" s="3">
        <f>IF(Sheet1!K138, 1, 0)
</f>
        <v>1</v>
      </c>
      <c r="I138" s="39" t="s">
        <v>699</v>
      </c>
      <c r="J138" s="3" t="str">
        <f>Sheet1!J138</f>
        <v>Frame Lean-to</v>
      </c>
      <c r="K138" s="39" t="s">
        <v>700</v>
      </c>
      <c r="L138" s="3" t="str">
        <f>Sheet1!L138</f>
        <v/>
      </c>
      <c r="M138" s="39" t="s">
        <v>701</v>
      </c>
      <c r="N138" s="3" t="str">
        <f>Sheet1!B138</f>
        <v>lake-pleiad-shelter-1</v>
      </c>
      <c r="O138" s="39" t="s">
        <v>702</v>
      </c>
    </row>
    <row r="139">
      <c r="A139" s="1" t="s">
        <v>695</v>
      </c>
      <c r="B139" s="3" t="str">
        <f>Sheet1!C139</f>
        <v>Lake Pleiad Shelter 2nd</v>
      </c>
      <c r="C139" s="39" t="s">
        <v>696</v>
      </c>
      <c r="D139" s="3">
        <f>Sheet1!D139</f>
        <v>1923</v>
      </c>
      <c r="E139" s="1" t="s">
        <v>697</v>
      </c>
      <c r="F139" s="3">
        <f>Sheet1!E139</f>
        <v>1994</v>
      </c>
      <c r="G139" s="1" t="s">
        <v>698</v>
      </c>
      <c r="H139" s="3">
        <f>IF(Sheet1!K139, 1, 0)
</f>
        <v>1</v>
      </c>
      <c r="I139" s="39" t="s">
        <v>699</v>
      </c>
      <c r="J139" s="3" t="str">
        <f>Sheet1!J139</f>
        <v>Wooden Camp</v>
      </c>
      <c r="K139" s="39" t="s">
        <v>700</v>
      </c>
      <c r="L139" s="3" t="str">
        <f>Sheet1!L139</f>
        <v/>
      </c>
      <c r="M139" s="39" t="s">
        <v>701</v>
      </c>
      <c r="N139" s="3" t="str">
        <f>Sheet1!B139</f>
        <v>lake-pleiad-shelter-2</v>
      </c>
      <c r="O139" s="39" t="s">
        <v>702</v>
      </c>
    </row>
    <row r="140">
      <c r="A140" s="1" t="s">
        <v>695</v>
      </c>
      <c r="B140" s="3" t="str">
        <f>Sheet1!C140</f>
        <v>Lances Lodge</v>
      </c>
      <c r="C140" s="39" t="s">
        <v>696</v>
      </c>
      <c r="D140" s="3">
        <f>Sheet1!D140</f>
        <v>1928</v>
      </c>
      <c r="E140" s="1" t="s">
        <v>697</v>
      </c>
      <c r="F140" s="3">
        <f>Sheet1!E140</f>
        <v>1971</v>
      </c>
      <c r="G140" s="1" t="s">
        <v>698</v>
      </c>
      <c r="H140" s="3">
        <f>IF(Sheet1!K140, 1, 0)
</f>
        <v>0</v>
      </c>
      <c r="I140" s="39" t="s">
        <v>699</v>
      </c>
      <c r="J140" s="3" t="str">
        <f>Sheet1!J140</f>
        <v>Private Resort</v>
      </c>
      <c r="K140" s="39" t="s">
        <v>700</v>
      </c>
      <c r="L140" s="3" t="str">
        <f>Sheet1!L140</f>
        <v>Shown on Section 10 maps for many years. Robert Lance Trail once connected mountain to Lodge.</v>
      </c>
      <c r="M140" s="39" t="s">
        <v>701</v>
      </c>
      <c r="N140" s="3" t="str">
        <f>Sheet1!B140</f>
        <v>lances-lodge</v>
      </c>
      <c r="O140" s="39" t="s">
        <v>702</v>
      </c>
    </row>
    <row r="141">
      <c r="A141" s="1" t="s">
        <v>695</v>
      </c>
      <c r="B141" s="3" t="str">
        <f>Sheet1!C141</f>
        <v/>
      </c>
      <c r="C141" s="39" t="s">
        <v>696</v>
      </c>
      <c r="D141" s="3">
        <f>Sheet1!D141</f>
        <v>1924</v>
      </c>
      <c r="E141" s="1" t="s">
        <v>697</v>
      </c>
      <c r="F141" s="3">
        <f>Sheet1!E141</f>
        <v>1930</v>
      </c>
      <c r="G141" s="1" t="s">
        <v>698</v>
      </c>
      <c r="H141" s="3">
        <f>IF(Sheet1!K141, 1, 0)
</f>
        <v>0</v>
      </c>
      <c r="I141" s="39" t="s">
        <v>699</v>
      </c>
      <c r="J141" s="3" t="str">
        <f>Sheet1!J141</f>
        <v>Unrestored cabin</v>
      </c>
      <c r="K141" s="39" t="s">
        <v>700</v>
      </c>
      <c r="L141" s="3" t="str">
        <f>Sheet1!L141</f>
        <v/>
      </c>
      <c r="M141" s="39" t="s">
        <v>701</v>
      </c>
      <c r="N141" s="3" t="str">
        <f>Sheet1!B141</f>
        <v>laraway-camp</v>
      </c>
      <c r="O141" s="39" t="s">
        <v>702</v>
      </c>
    </row>
    <row r="142">
      <c r="A142" s="1" t="s">
        <v>695</v>
      </c>
      <c r="B142" s="3" t="str">
        <f>Sheet1!C142</f>
        <v>Laura Woodward Shelter 1st</v>
      </c>
      <c r="C142" s="39" t="s">
        <v>696</v>
      </c>
      <c r="D142" s="3">
        <f>Sheet1!D142</f>
        <v>1931</v>
      </c>
      <c r="E142" s="1" t="s">
        <v>697</v>
      </c>
      <c r="F142" s="3">
        <f>Sheet1!E142</f>
        <v>1955</v>
      </c>
      <c r="G142" s="1" t="s">
        <v>698</v>
      </c>
      <c r="H142" s="3">
        <f>IF(Sheet1!K142, 1, 0)
</f>
        <v>1</v>
      </c>
      <c r="I142" s="39" t="s">
        <v>699</v>
      </c>
      <c r="J142" s="3" t="str">
        <f>Sheet1!J142</f>
        <v>Log Lean-to</v>
      </c>
      <c r="K142" s="39" t="s">
        <v>700</v>
      </c>
      <c r="L142" s="3" t="str">
        <f>Sheet1!L142</f>
        <v/>
      </c>
      <c r="M142" s="39" t="s">
        <v>701</v>
      </c>
      <c r="N142" s="3" t="str">
        <f>Sheet1!B142</f>
        <v>laura-woodward-shelter-1</v>
      </c>
      <c r="O142" s="39" t="s">
        <v>702</v>
      </c>
    </row>
    <row r="143">
      <c r="A143" s="1" t="s">
        <v>695</v>
      </c>
      <c r="B143" s="3" t="str">
        <f>Sheet1!C143</f>
        <v>Laura Woodward Shelter 2nd</v>
      </c>
      <c r="C143" s="39" t="s">
        <v>696</v>
      </c>
      <c r="D143" s="3">
        <f>Sheet1!D143</f>
        <v>1956</v>
      </c>
      <c r="E143" s="1" t="s">
        <v>697</v>
      </c>
      <c r="F143" s="3">
        <f>Sheet1!E143</f>
        <v>2001</v>
      </c>
      <c r="G143" s="1" t="s">
        <v>698</v>
      </c>
      <c r="H143" s="3">
        <f>IF(Sheet1!K143, 1, 0)
</f>
        <v>1</v>
      </c>
      <c r="I143" s="39" t="s">
        <v>699</v>
      </c>
      <c r="J143" s="3" t="str">
        <f>Sheet1!J143</f>
        <v>Log Lean-to</v>
      </c>
      <c r="K143" s="39" t="s">
        <v>700</v>
      </c>
      <c r="L143" s="3" t="str">
        <f>Sheet1!L143</f>
        <v/>
      </c>
      <c r="M143" s="39" t="s">
        <v>701</v>
      </c>
      <c r="N143" s="3" t="str">
        <f>Sheet1!B143</f>
        <v>laura-woodward-shelter-2</v>
      </c>
      <c r="O143" s="39" t="s">
        <v>702</v>
      </c>
    </row>
    <row r="144">
      <c r="A144" s="1" t="s">
        <v>695</v>
      </c>
      <c r="B144" s="3" t="str">
        <f>Sheet1!C144</f>
        <v>Laura Woodward Shelter 3rd</v>
      </c>
      <c r="C144" s="39" t="s">
        <v>696</v>
      </c>
      <c r="D144" s="3">
        <f>Sheet1!D144</f>
        <v>2001</v>
      </c>
      <c r="E144" s="1" t="s">
        <v>697</v>
      </c>
      <c r="F144" s="3" t="str">
        <f>Sheet1!E144</f>
        <v/>
      </c>
      <c r="G144" s="1" t="s">
        <v>698</v>
      </c>
      <c r="H144" s="3">
        <f>IF(Sheet1!K144, 1, 0)
</f>
        <v>1</v>
      </c>
      <c r="I144" s="39" t="s">
        <v>699</v>
      </c>
      <c r="J144" s="3" t="str">
        <f>Sheet1!J144</f>
        <v>Post and Beam</v>
      </c>
      <c r="K144" s="39" t="s">
        <v>700</v>
      </c>
      <c r="L144" s="3" t="str">
        <f>Sheet1!L144</f>
        <v>Tom Abbot</v>
      </c>
      <c r="M144" s="39" t="s">
        <v>701</v>
      </c>
      <c r="N144" s="3" t="str">
        <f>Sheet1!B144</f>
        <v>laura-woodward-shelter-3</v>
      </c>
      <c r="O144" s="39" t="s">
        <v>702</v>
      </c>
    </row>
    <row r="145">
      <c r="A145" s="1" t="s">
        <v>695</v>
      </c>
      <c r="B145" s="3" t="str">
        <f>Sheet1!C145</f>
        <v/>
      </c>
      <c r="C145" s="39" t="s">
        <v>696</v>
      </c>
      <c r="D145" s="3">
        <f>Sheet1!D145</f>
        <v>1928</v>
      </c>
      <c r="E145" s="1" t="s">
        <v>697</v>
      </c>
      <c r="F145" s="3" t="str">
        <f>Sheet1!E145</f>
        <v/>
      </c>
      <c r="G145" s="1" t="s">
        <v>698</v>
      </c>
      <c r="H145" s="3">
        <f>IF(Sheet1!K145, 1, 0)
</f>
        <v>0</v>
      </c>
      <c r="I145" s="39" t="s">
        <v>699</v>
      </c>
      <c r="J145" s="3" t="str">
        <f>Sheet1!J145</f>
        <v/>
      </c>
      <c r="K145" s="39" t="s">
        <v>700</v>
      </c>
      <c r="L145" s="3" t="str">
        <f>Sheet1!L145</f>
        <v>I don't see mention of this camp in the 1928 GB</v>
      </c>
      <c r="M145" s="39" t="s">
        <v>701</v>
      </c>
      <c r="N145" s="3" t="str">
        <f>Sheet1!B145</f>
        <v>little-rock-pond-camp</v>
      </c>
      <c r="O145" s="39" t="s">
        <v>702</v>
      </c>
    </row>
    <row r="146">
      <c r="A146" s="1" t="s">
        <v>695</v>
      </c>
      <c r="B146" s="3" t="str">
        <f>Sheet1!C146</f>
        <v>Little Rock Pond Shelter 1st</v>
      </c>
      <c r="C146" s="39" t="s">
        <v>696</v>
      </c>
      <c r="D146" s="3">
        <f>Sheet1!D146</f>
        <v>1935</v>
      </c>
      <c r="E146" s="1" t="s">
        <v>697</v>
      </c>
      <c r="F146" s="3">
        <f>Sheet1!E146</f>
        <v>1962</v>
      </c>
      <c r="G146" s="1" t="s">
        <v>698</v>
      </c>
      <c r="H146" s="3">
        <f>IF(Sheet1!K146, 1, 0)
</f>
        <v>1</v>
      </c>
      <c r="I146" s="39" t="s">
        <v>699</v>
      </c>
      <c r="J146" s="3" t="str">
        <f>Sheet1!J146</f>
        <v>Log lean to</v>
      </c>
      <c r="K146" s="39" t="s">
        <v>700</v>
      </c>
      <c r="L146" s="3" t="str">
        <f>Sheet1!L146</f>
        <v/>
      </c>
      <c r="M146" s="39" t="s">
        <v>701</v>
      </c>
      <c r="N146" s="3" t="str">
        <f>Sheet1!B146</f>
        <v>little-rock-pond-shelter-1</v>
      </c>
      <c r="O146" s="39" t="s">
        <v>702</v>
      </c>
    </row>
    <row r="147">
      <c r="A147" s="1" t="s">
        <v>695</v>
      </c>
      <c r="B147" s="3" t="str">
        <f>Sheet1!C147</f>
        <v>Little Rock Pond Shelter 2nd - A</v>
      </c>
      <c r="C147" s="39" t="s">
        <v>696</v>
      </c>
      <c r="D147" s="3">
        <f>Sheet1!D147</f>
        <v>1962</v>
      </c>
      <c r="E147" s="1" t="s">
        <v>697</v>
      </c>
      <c r="F147" s="3">
        <f>Sheet1!E147</f>
        <v>1972</v>
      </c>
      <c r="G147" s="1" t="s">
        <v>698</v>
      </c>
      <c r="H147" s="3">
        <f>IF(Sheet1!K147, 1, 0)
</f>
        <v>1</v>
      </c>
      <c r="I147" s="39" t="s">
        <v>699</v>
      </c>
      <c r="J147" s="3" t="str">
        <f>Sheet1!J147</f>
        <v>Wooden frame</v>
      </c>
      <c r="K147" s="39" t="s">
        <v>700</v>
      </c>
      <c r="L147" s="3" t="str">
        <f>Sheet1!L147</f>
        <v>Was  Shelter#2 and dismantled and moved .1 mile north of pond in 1971</v>
      </c>
      <c r="M147" s="39" t="s">
        <v>701</v>
      </c>
      <c r="N147" s="3" t="str">
        <f>Sheet1!B147</f>
        <v>little-rock-pond-shelter-2</v>
      </c>
      <c r="O147" s="39" t="s">
        <v>702</v>
      </c>
    </row>
    <row r="148">
      <c r="A148" s="1" t="s">
        <v>695</v>
      </c>
      <c r="B148" s="3" t="str">
        <f>Sheet1!C148</f>
        <v>Little Rock Pond Shelter 2nd - B</v>
      </c>
      <c r="C148" s="39" t="s">
        <v>696</v>
      </c>
      <c r="D148" s="3">
        <f>Sheet1!D148</f>
        <v>1972</v>
      </c>
      <c r="E148" s="1" t="s">
        <v>697</v>
      </c>
      <c r="F148" s="3">
        <f>Sheet1!E148</f>
        <v>2011</v>
      </c>
      <c r="G148" s="1" t="s">
        <v>698</v>
      </c>
      <c r="H148" s="3">
        <f>IF(Sheet1!K148, 1, 0)
</f>
        <v>1</v>
      </c>
      <c r="I148" s="39" t="s">
        <v>699</v>
      </c>
      <c r="J148" s="3" t="str">
        <f>Sheet1!J148</f>
        <v>Wooden frame</v>
      </c>
      <c r="K148" s="39" t="s">
        <v>700</v>
      </c>
      <c r="L148" s="3" t="str">
        <f>Sheet1!L148</f>
        <v>Was  Shelter#2 and dismantled and moved .1 mile north of pond in 1971</v>
      </c>
      <c r="M148" s="39" t="s">
        <v>701</v>
      </c>
      <c r="N148" s="3" t="str">
        <f>Sheet1!B148</f>
        <v>little-rock-pond-shelter-2</v>
      </c>
      <c r="O148" s="39" t="s">
        <v>702</v>
      </c>
    </row>
    <row r="149">
      <c r="A149" s="1" t="s">
        <v>695</v>
      </c>
      <c r="B149" s="3" t="str">
        <f>Sheet1!C149</f>
        <v>Little Rock Pond Shelter 3rd</v>
      </c>
      <c r="C149" s="39" t="s">
        <v>696</v>
      </c>
      <c r="D149" s="3">
        <f>Sheet1!D149</f>
        <v>2010</v>
      </c>
      <c r="E149" s="1" t="s">
        <v>697</v>
      </c>
      <c r="F149" s="3" t="str">
        <f>Sheet1!E149</f>
        <v/>
      </c>
      <c r="G149" s="1" t="s">
        <v>698</v>
      </c>
      <c r="H149" s="3">
        <f>IF(Sheet1!K149, 1, 0)
</f>
        <v>1</v>
      </c>
      <c r="I149" s="39" t="s">
        <v>699</v>
      </c>
      <c r="J149" s="3" t="str">
        <f>Sheet1!J149</f>
        <v>Post and Beam</v>
      </c>
      <c r="K149" s="39" t="s">
        <v>700</v>
      </c>
      <c r="L149" s="3" t="str">
        <f>Sheet1!L149</f>
        <v/>
      </c>
      <c r="M149" s="39" t="s">
        <v>701</v>
      </c>
      <c r="N149" s="3" t="str">
        <f>Sheet1!B149</f>
        <v>little-rock-pond-shelter-3</v>
      </c>
      <c r="O149" s="39" t="s">
        <v>702</v>
      </c>
    </row>
    <row r="150">
      <c r="A150" s="1" t="s">
        <v>695</v>
      </c>
      <c r="B150" s="3" t="str">
        <f>Sheet1!C150</f>
        <v>Little Rock Pond Group Tenting Area</v>
      </c>
      <c r="C150" s="39" t="s">
        <v>696</v>
      </c>
      <c r="D150" s="3">
        <f>Sheet1!D150</f>
        <v>1977</v>
      </c>
      <c r="E150" s="1" t="s">
        <v>697</v>
      </c>
      <c r="F150" s="3" t="str">
        <f>Sheet1!E150</f>
        <v/>
      </c>
      <c r="G150" s="1" t="s">
        <v>698</v>
      </c>
      <c r="H150" s="3">
        <f>IF(Sheet1!K150, 1, 0)
</f>
        <v>1</v>
      </c>
      <c r="I150" s="39" t="s">
        <v>699</v>
      </c>
      <c r="J150" s="3" t="str">
        <f>Sheet1!J150</f>
        <v>Tenting area</v>
      </c>
      <c r="K150" s="39" t="s">
        <v>700</v>
      </c>
      <c r="L150" s="3" t="str">
        <f>Sheet1!L150</f>
        <v/>
      </c>
      <c r="M150" s="39" t="s">
        <v>701</v>
      </c>
      <c r="N150" s="3" t="str">
        <f>Sheet1!B150</f>
        <v>little-rock-pond-group-tenting-area</v>
      </c>
      <c r="O150" s="39" t="s">
        <v>702</v>
      </c>
    </row>
    <row r="151">
      <c r="A151" s="1" t="s">
        <v>695</v>
      </c>
      <c r="B151" s="3" t="str">
        <f>Sheet1!C151</f>
        <v>Long Trail Lodge</v>
      </c>
      <c r="C151" s="39" t="s">
        <v>696</v>
      </c>
      <c r="D151" s="3">
        <f>Sheet1!D151</f>
        <v>1924</v>
      </c>
      <c r="E151" s="1" t="s">
        <v>697</v>
      </c>
      <c r="F151" s="3">
        <f>Sheet1!E151</f>
        <v>1968</v>
      </c>
      <c r="G151" s="1" t="s">
        <v>698</v>
      </c>
      <c r="H151" s="3">
        <f>IF(Sheet1!K151, 1, 0)
</f>
        <v>1</v>
      </c>
      <c r="I151" s="39" t="s">
        <v>699</v>
      </c>
      <c r="J151" s="3" t="str">
        <f>Sheet1!J151</f>
        <v>GMC Clubhouse</v>
      </c>
      <c r="K151" s="39" t="s">
        <v>700</v>
      </c>
      <c r="L151" s="3" t="str">
        <f>Sheet1!L151</f>
        <v/>
      </c>
      <c r="M151" s="39" t="s">
        <v>701</v>
      </c>
      <c r="N151" s="3" t="str">
        <f>Sheet1!B151</f>
        <v>long-trail-lodge</v>
      </c>
      <c r="O151" s="39" t="s">
        <v>702</v>
      </c>
    </row>
    <row r="152">
      <c r="A152" s="1" t="s">
        <v>695</v>
      </c>
      <c r="B152" s="3" t="str">
        <f>Sheet1!C152</f>
        <v>Lost Pond Shelter 1st</v>
      </c>
      <c r="C152" s="39" t="s">
        <v>696</v>
      </c>
      <c r="D152" s="3">
        <f>Sheet1!D152</f>
        <v>1965</v>
      </c>
      <c r="E152" s="1" t="s">
        <v>697</v>
      </c>
      <c r="F152" s="3">
        <f>Sheet1!E152</f>
        <v>2001</v>
      </c>
      <c r="G152" s="1" t="s">
        <v>698</v>
      </c>
      <c r="H152" s="3">
        <f>IF(Sheet1!K152, 1, 0)
</f>
        <v>1</v>
      </c>
      <c r="I152" s="39" t="s">
        <v>699</v>
      </c>
      <c r="J152" s="3" t="str">
        <f>Sheet1!J152</f>
        <v>Frame lean-to</v>
      </c>
      <c r="K152" s="39" t="s">
        <v>700</v>
      </c>
      <c r="L152" s="3" t="str">
        <f>Sheet1!L152</f>
        <v/>
      </c>
      <c r="M152" s="39" t="s">
        <v>701</v>
      </c>
      <c r="N152" s="3" t="str">
        <f>Sheet1!B152</f>
        <v>lost-pond-shelter-1</v>
      </c>
      <c r="O152" s="39" t="s">
        <v>702</v>
      </c>
    </row>
    <row r="153">
      <c r="A153" s="1" t="s">
        <v>695</v>
      </c>
      <c r="B153" s="3" t="str">
        <f>Sheet1!C153</f>
        <v>Lost Pond Shelter 2nd</v>
      </c>
      <c r="C153" s="39" t="s">
        <v>696</v>
      </c>
      <c r="D153" s="3">
        <f>Sheet1!D153</f>
        <v>2002</v>
      </c>
      <c r="E153" s="1" t="s">
        <v>697</v>
      </c>
      <c r="F153" s="3">
        <f>Sheet1!E153</f>
        <v>2009</v>
      </c>
      <c r="G153" s="1" t="s">
        <v>698</v>
      </c>
      <c r="H153" s="3">
        <f>IF(Sheet1!K153, 1, 0)
</f>
        <v>1</v>
      </c>
      <c r="I153" s="39" t="s">
        <v>699</v>
      </c>
      <c r="J153" s="3" t="str">
        <f>Sheet1!J153</f>
        <v>Frame lean-to</v>
      </c>
      <c r="K153" s="39" t="s">
        <v>700</v>
      </c>
      <c r="L153" s="3" t="str">
        <f>Sheet1!L153</f>
        <v>Dates according to 2011 GB</v>
      </c>
      <c r="M153" s="39" t="s">
        <v>701</v>
      </c>
      <c r="N153" s="3" t="str">
        <f>Sheet1!B153</f>
        <v>lost-pond-shelter-2</v>
      </c>
      <c r="O153" s="39" t="s">
        <v>702</v>
      </c>
    </row>
    <row r="154">
      <c r="A154" s="1" t="s">
        <v>695</v>
      </c>
      <c r="B154" s="3" t="str">
        <f>Sheet1!C154</f>
        <v>Lost Pond Shelter 3rd</v>
      </c>
      <c r="C154" s="39" t="s">
        <v>696</v>
      </c>
      <c r="D154" s="3">
        <f>Sheet1!D154</f>
        <v>2009</v>
      </c>
      <c r="E154" s="1" t="s">
        <v>697</v>
      </c>
      <c r="F154" s="3" t="str">
        <f>Sheet1!E154</f>
        <v/>
      </c>
      <c r="G154" s="1" t="s">
        <v>698</v>
      </c>
      <c r="H154" s="3">
        <f>IF(Sheet1!K154, 1, 0)
</f>
        <v>1</v>
      </c>
      <c r="I154" s="39" t="s">
        <v>699</v>
      </c>
      <c r="J154" s="3" t="str">
        <f>Sheet1!J154</f>
        <v>Post and Beam</v>
      </c>
      <c r="K154" s="39" t="s">
        <v>700</v>
      </c>
      <c r="L154" s="3" t="str">
        <f>Sheet1!L154</f>
        <v>Tom Abbott</v>
      </c>
      <c r="M154" s="39" t="s">
        <v>701</v>
      </c>
      <c r="N154" s="3" t="str">
        <f>Sheet1!B154</f>
        <v>lost-pond-shelter-3</v>
      </c>
      <c r="O154" s="39" t="s">
        <v>702</v>
      </c>
    </row>
    <row r="155">
      <c r="A155" s="1" t="s">
        <v>695</v>
      </c>
      <c r="B155" s="3" t="str">
        <f>Sheet1!C155</f>
        <v>Luce's Lookout</v>
      </c>
      <c r="C155" s="39" t="s">
        <v>696</v>
      </c>
      <c r="D155" s="3">
        <f>Sheet1!D155</f>
        <v>1983</v>
      </c>
      <c r="E155" s="1" t="s">
        <v>697</v>
      </c>
      <c r="F155" s="3" t="str">
        <f>Sheet1!E155</f>
        <v/>
      </c>
      <c r="G155" s="1" t="s">
        <v>698</v>
      </c>
      <c r="H155" s="3">
        <f>IF(Sheet1!K155, 1, 0)
</f>
        <v>0</v>
      </c>
      <c r="I155" s="39" t="s">
        <v>699</v>
      </c>
      <c r="J155" s="3" t="str">
        <f>Sheet1!J155</f>
        <v>Wooden Camp</v>
      </c>
      <c r="K155" s="39" t="s">
        <v>700</v>
      </c>
      <c r="L155" s="3" t="str">
        <f>Sheet1!L155</f>
        <v>Lookout view mentioned prior  to 1983 but not structures</v>
      </c>
      <c r="M155" s="39" t="s">
        <v>701</v>
      </c>
      <c r="N155" s="3" t="str">
        <f>Sheet1!B155</f>
        <v>luces-lookout</v>
      </c>
      <c r="O155" s="39" t="s">
        <v>702</v>
      </c>
    </row>
    <row r="156">
      <c r="A156" s="1" t="s">
        <v>695</v>
      </c>
      <c r="B156" s="3" t="str">
        <f>Sheet1!C156</f>
        <v>Lula Tye Shelter - A</v>
      </c>
      <c r="C156" s="39" t="s">
        <v>696</v>
      </c>
      <c r="D156" s="3">
        <f>Sheet1!D156</f>
        <v>1963</v>
      </c>
      <c r="E156" s="1" t="s">
        <v>697</v>
      </c>
      <c r="F156" s="3">
        <f>Sheet1!E156</f>
        <v>1972</v>
      </c>
      <c r="G156" s="1" t="s">
        <v>698</v>
      </c>
      <c r="H156" s="3">
        <f>IF(Sheet1!K156, 1, 0)
</f>
        <v>1</v>
      </c>
      <c r="I156" s="39" t="s">
        <v>699</v>
      </c>
      <c r="J156" s="3" t="str">
        <f>Sheet1!J156</f>
        <v>Wood Frame</v>
      </c>
      <c r="K156" s="39" t="s">
        <v>700</v>
      </c>
      <c r="L156" s="3" t="str">
        <f>Sheet1!L156</f>
        <v>Also called E Shore Shelter on Little Rock Pond</v>
      </c>
      <c r="M156" s="39" t="s">
        <v>701</v>
      </c>
      <c r="N156" s="3" t="str">
        <f>Sheet1!B156</f>
        <v>lula-tye-shelter</v>
      </c>
      <c r="O156" s="39" t="s">
        <v>702</v>
      </c>
    </row>
    <row r="157">
      <c r="A157" s="1" t="s">
        <v>695</v>
      </c>
      <c r="B157" s="3" t="str">
        <f>Sheet1!C157</f>
        <v>Lula Tye Shelter - B</v>
      </c>
      <c r="C157" s="39" t="s">
        <v>696</v>
      </c>
      <c r="D157" s="3">
        <f>Sheet1!D157</f>
        <v>1973</v>
      </c>
      <c r="E157" s="1" t="s">
        <v>697</v>
      </c>
      <c r="F157" s="3">
        <f>Sheet1!E157</f>
        <v>2011</v>
      </c>
      <c r="G157" s="1" t="s">
        <v>698</v>
      </c>
      <c r="H157" s="3">
        <f>IF(Sheet1!K157, 1, 0)
</f>
        <v>1</v>
      </c>
      <c r="I157" s="39" t="s">
        <v>699</v>
      </c>
      <c r="J157" s="3" t="str">
        <f>Sheet1!J157</f>
        <v>Wood Frame</v>
      </c>
      <c r="K157" s="39" t="s">
        <v>700</v>
      </c>
      <c r="L157" s="3" t="str">
        <f>Sheet1!L157</f>
        <v/>
      </c>
      <c r="M157" s="39" t="s">
        <v>701</v>
      </c>
      <c r="N157" s="3" t="str">
        <f>Sheet1!B157</f>
        <v>lula-tye-shelter</v>
      </c>
      <c r="O157" s="39" t="s">
        <v>702</v>
      </c>
    </row>
    <row r="158">
      <c r="A158" s="1" t="s">
        <v>695</v>
      </c>
      <c r="B158" s="3" t="str">
        <f>Sheet1!C158</f>
        <v>Mad Tom Camp</v>
      </c>
      <c r="C158" s="39" t="s">
        <v>696</v>
      </c>
      <c r="D158" s="3">
        <f>Sheet1!D158</f>
        <v>1922</v>
      </c>
      <c r="E158" s="1" t="s">
        <v>697</v>
      </c>
      <c r="F158" s="3">
        <f>Sheet1!E158</f>
        <v>1962</v>
      </c>
      <c r="G158" s="1" t="s">
        <v>698</v>
      </c>
      <c r="H158" s="3">
        <f>IF(Sheet1!K158, 1, 0)
</f>
        <v>1</v>
      </c>
      <c r="I158" s="39" t="s">
        <v>699</v>
      </c>
      <c r="J158" s="3" t="str">
        <f>Sheet1!J158</f>
        <v>Wood Frame Camp</v>
      </c>
      <c r="K158" s="39" t="s">
        <v>700</v>
      </c>
      <c r="L158" s="3" t="str">
        <f>Sheet1!L158</f>
        <v/>
      </c>
      <c r="M158" s="39" t="s">
        <v>701</v>
      </c>
      <c r="N158" s="3" t="str">
        <f>Sheet1!B158</f>
        <v>mad-tom-camp</v>
      </c>
      <c r="O158" s="39" t="s">
        <v>702</v>
      </c>
    </row>
    <row r="159">
      <c r="A159" s="1" t="s">
        <v>695</v>
      </c>
      <c r="B159" s="3" t="str">
        <f>Sheet1!C159</f>
        <v>Mad Tom Notch Shelter</v>
      </c>
      <c r="C159" s="39" t="s">
        <v>696</v>
      </c>
      <c r="D159" s="3">
        <f>Sheet1!D159</f>
        <v>1934</v>
      </c>
      <c r="E159" s="1" t="s">
        <v>697</v>
      </c>
      <c r="F159" s="3">
        <f>Sheet1!E159</f>
        <v>1962</v>
      </c>
      <c r="G159" s="1" t="s">
        <v>698</v>
      </c>
      <c r="H159" s="3">
        <f>IF(Sheet1!K159, 1, 0)
</f>
        <v>1</v>
      </c>
      <c r="I159" s="39" t="s">
        <v>699</v>
      </c>
      <c r="J159" s="3" t="str">
        <f>Sheet1!J159</f>
        <v>Log Lean-to</v>
      </c>
      <c r="K159" s="39" t="s">
        <v>700</v>
      </c>
      <c r="L159" s="3" t="str">
        <f>Sheet1!L159</f>
        <v/>
      </c>
      <c r="M159" s="39" t="s">
        <v>701</v>
      </c>
      <c r="N159" s="3" t="str">
        <f>Sheet1!B159</f>
        <v>mad-tom-notch-shelter</v>
      </c>
      <c r="O159" s="39" t="s">
        <v>702</v>
      </c>
    </row>
    <row r="160">
      <c r="A160" s="1" t="s">
        <v>695</v>
      </c>
      <c r="B160" s="3" t="str">
        <f>Sheet1!C160</f>
        <v>Mad Tom Shelter</v>
      </c>
      <c r="C160" s="39" t="s">
        <v>696</v>
      </c>
      <c r="D160" s="3">
        <f>Sheet1!D160</f>
        <v>1962</v>
      </c>
      <c r="E160" s="1" t="s">
        <v>697</v>
      </c>
      <c r="F160" s="3">
        <f>Sheet1!E160</f>
        <v>1997</v>
      </c>
      <c r="G160" s="1" t="s">
        <v>698</v>
      </c>
      <c r="H160" s="3">
        <f>IF(Sheet1!K160, 1, 0)
</f>
        <v>1</v>
      </c>
      <c r="I160" s="39" t="s">
        <v>699</v>
      </c>
      <c r="J160" s="3" t="str">
        <f>Sheet1!J160</f>
        <v>Wood Frame Camp/Shelter</v>
      </c>
      <c r="K160" s="39" t="s">
        <v>700</v>
      </c>
      <c r="L160" s="3" t="str">
        <f>Sheet1!L160</f>
        <v>Moved in 1980 and converted to a camp until 1997, Final location on Bromley at: 43.239637592610535, -72.93837765971196</v>
      </c>
      <c r="M160" s="39" t="s">
        <v>701</v>
      </c>
      <c r="N160" s="3" t="str">
        <f>Sheet1!B160</f>
        <v>mad-tom-shelter</v>
      </c>
      <c r="O160" s="39" t="s">
        <v>702</v>
      </c>
    </row>
    <row r="161">
      <c r="A161" s="1" t="s">
        <v>695</v>
      </c>
      <c r="B161" s="3" t="str">
        <f>Sheet1!C161</f>
        <v>Melville Nauheim</v>
      </c>
      <c r="C161" s="39" t="s">
        <v>696</v>
      </c>
      <c r="D161" s="3">
        <f>Sheet1!D161</f>
        <v>1977</v>
      </c>
      <c r="E161" s="1" t="s">
        <v>697</v>
      </c>
      <c r="F161" s="3" t="str">
        <f>Sheet1!E161</f>
        <v/>
      </c>
      <c r="G161" s="1" t="s">
        <v>698</v>
      </c>
      <c r="H161" s="3">
        <f>IF(Sheet1!K161, 1, 0)
</f>
        <v>1</v>
      </c>
      <c r="I161" s="39" t="s">
        <v>699</v>
      </c>
      <c r="J161" s="3" t="str">
        <f>Sheet1!J161</f>
        <v>Wooden Frame Shelter</v>
      </c>
      <c r="K161" s="39" t="s">
        <v>700</v>
      </c>
      <c r="L161" s="3" t="str">
        <f>Sheet1!L161</f>
        <v/>
      </c>
      <c r="M161" s="39" t="s">
        <v>701</v>
      </c>
      <c r="N161" s="3" t="str">
        <f>Sheet1!B161</f>
        <v>melville-nauheim</v>
      </c>
      <c r="O161" s="39" t="s">
        <v>702</v>
      </c>
    </row>
    <row r="162">
      <c r="A162" s="1" t="s">
        <v>695</v>
      </c>
      <c r="B162" s="3" t="str">
        <f>Sheet1!C162</f>
        <v>Minerva Hinchey Shelter</v>
      </c>
      <c r="C162" s="39" t="s">
        <v>696</v>
      </c>
      <c r="D162" s="3">
        <f>Sheet1!D162</f>
        <v>1979</v>
      </c>
      <c r="E162" s="1" t="s">
        <v>697</v>
      </c>
      <c r="F162" s="3" t="str">
        <f>Sheet1!E162</f>
        <v/>
      </c>
      <c r="G162" s="1" t="s">
        <v>698</v>
      </c>
      <c r="H162" s="3">
        <f>IF(Sheet1!K162, 1, 0)
</f>
        <v>1</v>
      </c>
      <c r="I162" s="39" t="s">
        <v>699</v>
      </c>
      <c r="J162" s="3" t="str">
        <f>Sheet1!J162</f>
        <v>Wooden Frame Shelter</v>
      </c>
      <c r="K162" s="39" t="s">
        <v>700</v>
      </c>
      <c r="L162" s="3" t="str">
        <f>Sheet1!L162</f>
        <v>Formerly called Sunnyside Camp</v>
      </c>
      <c r="M162" s="39" t="s">
        <v>701</v>
      </c>
      <c r="N162" s="3" t="str">
        <f>Sheet1!B162</f>
        <v>minerva-hinchey-shelter</v>
      </c>
      <c r="O162" s="39" t="s">
        <v>702</v>
      </c>
    </row>
    <row r="163">
      <c r="A163" s="1" t="s">
        <v>695</v>
      </c>
      <c r="B163" s="3" t="str">
        <f>Sheet1!C163</f>
        <v>Montclair Glen Lodge 1st</v>
      </c>
      <c r="C163" s="39" t="s">
        <v>696</v>
      </c>
      <c r="D163" s="3">
        <f>Sheet1!D163</f>
        <v>1917</v>
      </c>
      <c r="E163" s="1" t="s">
        <v>697</v>
      </c>
      <c r="F163" s="3">
        <f>Sheet1!E163</f>
        <v>1940</v>
      </c>
      <c r="G163" s="1" t="s">
        <v>698</v>
      </c>
      <c r="H163" s="3">
        <f>IF(Sheet1!K163, 1, 0)
</f>
        <v>1</v>
      </c>
      <c r="I163" s="39" t="s">
        <v>699</v>
      </c>
      <c r="J163" s="3" t="str">
        <f>Sheet1!J163</f>
        <v>Wooden Frame Shelter</v>
      </c>
      <c r="K163" s="39" t="s">
        <v>700</v>
      </c>
      <c r="L163" s="3" t="str">
        <f>Sheet1!L163</f>
        <v/>
      </c>
      <c r="M163" s="39" t="s">
        <v>701</v>
      </c>
      <c r="N163" s="3" t="str">
        <f>Sheet1!B163</f>
        <v>montclair-glen-lodge-1</v>
      </c>
      <c r="O163" s="39" t="s">
        <v>702</v>
      </c>
    </row>
    <row r="164">
      <c r="A164" s="1" t="s">
        <v>695</v>
      </c>
      <c r="B164" s="3" t="str">
        <f>Sheet1!C164</f>
        <v>Montclair Glen Lodge 2nd</v>
      </c>
      <c r="C164" s="39" t="s">
        <v>696</v>
      </c>
      <c r="D164" s="3">
        <f>Sheet1!D164</f>
        <v>1948</v>
      </c>
      <c r="E164" s="1" t="s">
        <v>697</v>
      </c>
      <c r="F164" s="3" t="str">
        <f>Sheet1!E164</f>
        <v/>
      </c>
      <c r="G164" s="1" t="s">
        <v>698</v>
      </c>
      <c r="H164" s="3">
        <f>IF(Sheet1!K164, 1, 0)
</f>
        <v>1</v>
      </c>
      <c r="I164" s="39" t="s">
        <v>699</v>
      </c>
      <c r="J164" s="3" t="str">
        <f>Sheet1!J164</f>
        <v>Wooden Frame/Log Lodge</v>
      </c>
      <c r="K164" s="39" t="s">
        <v>700</v>
      </c>
      <c r="L164" s="3" t="str">
        <f>Sheet1!L164</f>
        <v>I think this is still standing as the current lodge</v>
      </c>
      <c r="M164" s="39" t="s">
        <v>701</v>
      </c>
      <c r="N164" s="3" t="str">
        <f>Sheet1!B164</f>
        <v>montclair-glen-lodge-2</v>
      </c>
      <c r="O164" s="39" t="s">
        <v>702</v>
      </c>
    </row>
    <row r="165">
      <c r="A165" s="1" t="s">
        <v>695</v>
      </c>
      <c r="B165" s="3" t="str">
        <f>Sheet1!C165</f>
        <v>Montclair Glen Lodge 3rd</v>
      </c>
      <c r="C165" s="39" t="s">
        <v>696</v>
      </c>
      <c r="D165" s="3">
        <f>Sheet1!D165</f>
        <v>1948</v>
      </c>
      <c r="E165" s="1" t="s">
        <v>697</v>
      </c>
      <c r="F165" s="3" t="str">
        <f>Sheet1!E165</f>
        <v/>
      </c>
      <c r="G165" s="1" t="s">
        <v>698</v>
      </c>
      <c r="H165" s="3">
        <f>IF(Sheet1!K165, 1, 0)
</f>
        <v>1</v>
      </c>
      <c r="I165" s="39" t="s">
        <v>699</v>
      </c>
      <c r="J165" s="3" t="str">
        <f>Sheet1!J165</f>
        <v/>
      </c>
      <c r="K165" s="39" t="s">
        <v>700</v>
      </c>
      <c r="L165" s="3" t="str">
        <f>Sheet1!L165</f>
        <v/>
      </c>
      <c r="M165" s="39" t="s">
        <v>701</v>
      </c>
      <c r="N165" s="3" t="str">
        <f>Sheet1!B165</f>
        <v>montclair-glen-lodge-3</v>
      </c>
      <c r="O165" s="39" t="s">
        <v>702</v>
      </c>
    </row>
    <row r="166">
      <c r="A166" s="1" t="s">
        <v>695</v>
      </c>
      <c r="B166" s="3" t="str">
        <f>Sheet1!C166</f>
        <v>Mount Mansfield Hotel</v>
      </c>
      <c r="C166" s="39" t="s">
        <v>696</v>
      </c>
      <c r="D166" s="3">
        <f>Sheet1!D166</f>
        <v>1856</v>
      </c>
      <c r="E166" s="1" t="s">
        <v>697</v>
      </c>
      <c r="F166" s="3" t="str">
        <f>Sheet1!E166</f>
        <v/>
      </c>
      <c r="G166" s="1" t="s">
        <v>698</v>
      </c>
      <c r="H166" s="3">
        <f>IF(Sheet1!K166, 1, 0)
</f>
        <v>0</v>
      </c>
      <c r="I166" s="39" t="s">
        <v>699</v>
      </c>
      <c r="J166" s="3" t="str">
        <f>Sheet1!J166</f>
        <v>Wooden Hotel</v>
      </c>
      <c r="K166" s="39" t="s">
        <v>700</v>
      </c>
      <c r="L166" s="3" t="str">
        <f>Sheet1!L166</f>
        <v>Torn down in 1964, Still mentioned in GB</v>
      </c>
      <c r="M166" s="39" t="s">
        <v>701</v>
      </c>
      <c r="N166" s="3" t="str">
        <f>Sheet1!B166</f>
        <v>mount-mansfield-hotel</v>
      </c>
      <c r="O166" s="39" t="s">
        <v>702</v>
      </c>
    </row>
    <row r="167">
      <c r="A167" s="1" t="s">
        <v>695</v>
      </c>
      <c r="B167" s="3" t="str">
        <f>Sheet1!C167</f>
        <v>Mountain Meadows Lodge</v>
      </c>
      <c r="C167" s="39" t="s">
        <v>696</v>
      </c>
      <c r="D167" s="3">
        <f>Sheet1!D167</f>
        <v>1959</v>
      </c>
      <c r="E167" s="1" t="s">
        <v>697</v>
      </c>
      <c r="F167" s="3" t="str">
        <f>Sheet1!E167</f>
        <v/>
      </c>
      <c r="G167" s="1" t="s">
        <v>698</v>
      </c>
      <c r="H167" s="3">
        <f>IF(Sheet1!K167, 1, 0)
</f>
        <v>0</v>
      </c>
      <c r="I167" s="39" t="s">
        <v>699</v>
      </c>
      <c r="J167" s="3" t="str">
        <f>Sheet1!J167</f>
        <v>Inn</v>
      </c>
      <c r="K167" s="39" t="s">
        <v>700</v>
      </c>
      <c r="L167" s="3" t="str">
        <f>Sheet1!L167</f>
        <v/>
      </c>
      <c r="M167" s="39" t="s">
        <v>701</v>
      </c>
      <c r="N167" s="3" t="str">
        <f>Sheet1!B167</f>
        <v>mountain-meadows-lodge</v>
      </c>
      <c r="O167" s="39" t="s">
        <v>702</v>
      </c>
    </row>
    <row r="168">
      <c r="A168" s="1" t="s">
        <v>695</v>
      </c>
      <c r="B168" s="3" t="str">
        <f>Sheet1!C168</f>
        <v>Noyes Camp</v>
      </c>
      <c r="C168" s="39" t="s">
        <v>696</v>
      </c>
      <c r="D168" s="3">
        <f>Sheet1!D168</f>
        <v>1932</v>
      </c>
      <c r="E168" s="1" t="s">
        <v>697</v>
      </c>
      <c r="F168" s="3">
        <f>Sheet1!E168</f>
        <v>1968</v>
      </c>
      <c r="G168" s="1" t="s">
        <v>698</v>
      </c>
      <c r="H168" s="3">
        <f>IF(Sheet1!K168, 1, 0)
</f>
        <v>1</v>
      </c>
      <c r="I168" s="39" t="s">
        <v>699</v>
      </c>
      <c r="J168" s="3" t="str">
        <f>Sheet1!J168</f>
        <v>Wood Frame Camp</v>
      </c>
      <c r="K168" s="39" t="s">
        <v>700</v>
      </c>
      <c r="L168" s="3" t="str">
        <f>Sheet1!L168</f>
        <v/>
      </c>
      <c r="M168" s="39" t="s">
        <v>701</v>
      </c>
      <c r="N168" s="3" t="str">
        <f>Sheet1!B168</f>
        <v>noyes-camp</v>
      </c>
      <c r="O168" s="39" t="s">
        <v>702</v>
      </c>
    </row>
    <row r="169">
      <c r="A169" s="1" t="s">
        <v>695</v>
      </c>
      <c r="B169" s="3" t="str">
        <f>Sheet1!C169</f>
        <v>Noyes Pond Camp</v>
      </c>
      <c r="C169" s="39" t="s">
        <v>696</v>
      </c>
      <c r="D169" s="3">
        <f>Sheet1!D169</f>
        <v>1925</v>
      </c>
      <c r="E169" s="1" t="s">
        <v>697</v>
      </c>
      <c r="F169" s="3">
        <f>Sheet1!E169</f>
        <v>1965</v>
      </c>
      <c r="G169" s="1" t="s">
        <v>698</v>
      </c>
      <c r="H169" s="3">
        <f>IF(Sheet1!K169, 1, 0)
</f>
        <v>1</v>
      </c>
      <c r="I169" s="39" t="s">
        <v>699</v>
      </c>
      <c r="J169" s="3" t="str">
        <f>Sheet1!J169</f>
        <v>Log shelter</v>
      </c>
      <c r="K169" s="39" t="s">
        <v>700</v>
      </c>
      <c r="L169" s="3" t="str">
        <f>Sheet1!L169</f>
        <v/>
      </c>
      <c r="M169" s="39" t="s">
        <v>701</v>
      </c>
      <c r="N169" s="3" t="str">
        <f>Sheet1!B169</f>
        <v>noyes-pond-camp</v>
      </c>
      <c r="O169" s="39" t="s">
        <v>702</v>
      </c>
    </row>
    <row r="170">
      <c r="A170" s="1" t="s">
        <v>695</v>
      </c>
      <c r="B170" s="3" t="str">
        <f>Sheet1!C170</f>
        <v>Noyes Pond Lodge</v>
      </c>
      <c r="C170" s="39" t="s">
        <v>696</v>
      </c>
      <c r="D170" s="3">
        <f>Sheet1!D170</f>
        <v>1920</v>
      </c>
      <c r="E170" s="1" t="s">
        <v>697</v>
      </c>
      <c r="F170" s="3">
        <f>Sheet1!E170</f>
        <v>1951</v>
      </c>
      <c r="G170" s="1" t="s">
        <v>698</v>
      </c>
      <c r="H170" s="3">
        <f>IF(Sheet1!K170, 1, 0)
</f>
        <v>0</v>
      </c>
      <c r="I170" s="39" t="s">
        <v>699</v>
      </c>
      <c r="J170" s="3" t="str">
        <f>Sheet1!J170</f>
        <v>Log shelter</v>
      </c>
      <c r="K170" s="39" t="s">
        <v>700</v>
      </c>
      <c r="L170" s="3" t="str">
        <f>Sheet1!L170</f>
        <v/>
      </c>
      <c r="M170" s="39" t="s">
        <v>701</v>
      </c>
      <c r="N170" s="3" t="str">
        <f>Sheet1!B170</f>
        <v>noyes-pond-lodge</v>
      </c>
      <c r="O170" s="39" t="s">
        <v>702</v>
      </c>
    </row>
    <row r="171">
      <c r="A171" s="1" t="s">
        <v>695</v>
      </c>
      <c r="B171" s="3" t="str">
        <f>Sheet1!C171</f>
        <v>Noyes Pond Shelter</v>
      </c>
      <c r="C171" s="39" t="s">
        <v>696</v>
      </c>
      <c r="D171" s="3">
        <f>Sheet1!D171</f>
        <v>1923</v>
      </c>
      <c r="E171" s="1" t="s">
        <v>697</v>
      </c>
      <c r="F171" s="3">
        <f>Sheet1!E171</f>
        <v>1965</v>
      </c>
      <c r="G171" s="1" t="s">
        <v>698</v>
      </c>
      <c r="H171" s="3">
        <f>IF(Sheet1!K171, 1, 0)
</f>
        <v>1</v>
      </c>
      <c r="I171" s="39" t="s">
        <v>699</v>
      </c>
      <c r="J171" s="3" t="str">
        <f>Sheet1!J171</f>
        <v>Wooden Frame Shelter</v>
      </c>
      <c r="K171" s="39" t="s">
        <v>700</v>
      </c>
      <c r="L171" s="3" t="str">
        <f>Sheet1!L171</f>
        <v/>
      </c>
      <c r="M171" s="39" t="s">
        <v>701</v>
      </c>
      <c r="N171" s="3" t="str">
        <f>Sheet1!B171</f>
        <v>noyes-pond-shelter</v>
      </c>
      <c r="O171" s="39" t="s">
        <v>702</v>
      </c>
    </row>
    <row r="172">
      <c r="A172" s="1" t="s">
        <v>695</v>
      </c>
      <c r="B172" s="3" t="str">
        <f>Sheet1!C172</f>
        <v>Octogon</v>
      </c>
      <c r="C172" s="39" t="s">
        <v>696</v>
      </c>
      <c r="D172" s="3">
        <f>Sheet1!D172</f>
        <v>1940</v>
      </c>
      <c r="E172" s="1" t="s">
        <v>697</v>
      </c>
      <c r="F172" s="3" t="str">
        <f>Sheet1!E172</f>
        <v/>
      </c>
      <c r="G172" s="1" t="s">
        <v>698</v>
      </c>
      <c r="H172" s="3">
        <f>IF(Sheet1!K172, 1, 0)
</f>
        <v>0</v>
      </c>
      <c r="I172" s="39" t="s">
        <v>699</v>
      </c>
      <c r="J172" s="3" t="str">
        <f>Sheet1!J172</f>
        <v>Winter Ski Warming Hut</v>
      </c>
      <c r="K172" s="39" t="s">
        <v>700</v>
      </c>
      <c r="L172" s="3" t="str">
        <f>Sheet1!L172</f>
        <v>Spelled Octagon</v>
      </c>
      <c r="M172" s="39" t="s">
        <v>701</v>
      </c>
      <c r="N172" s="3" t="str">
        <f>Sheet1!B172</f>
        <v>octogon</v>
      </c>
      <c r="O172" s="39" t="s">
        <v>702</v>
      </c>
    </row>
    <row r="173">
      <c r="A173" s="1" t="s">
        <v>695</v>
      </c>
      <c r="B173" s="3" t="str">
        <f>Sheet1!C173</f>
        <v>Old Job Shelter</v>
      </c>
      <c r="C173" s="39" t="s">
        <v>696</v>
      </c>
      <c r="D173" s="3">
        <f>Sheet1!D173</f>
        <v>1935</v>
      </c>
      <c r="E173" s="1" t="s">
        <v>697</v>
      </c>
      <c r="F173" s="3" t="str">
        <f>Sheet1!E173</f>
        <v/>
      </c>
      <c r="G173" s="1" t="s">
        <v>698</v>
      </c>
      <c r="H173" s="3">
        <f>IF(Sheet1!K173, 1, 0)
</f>
        <v>1</v>
      </c>
      <c r="I173" s="39" t="s">
        <v>699</v>
      </c>
      <c r="J173" s="3" t="str">
        <f>Sheet1!J173</f>
        <v>Log Lean-to</v>
      </c>
      <c r="K173" s="39" t="s">
        <v>700</v>
      </c>
      <c r="L173" s="3" t="str">
        <f>Sheet1!L173</f>
        <v/>
      </c>
      <c r="M173" s="39" t="s">
        <v>701</v>
      </c>
      <c r="N173" s="3" t="str">
        <f>Sheet1!B173</f>
        <v>old-job-shelter</v>
      </c>
      <c r="O173" s="39" t="s">
        <v>702</v>
      </c>
    </row>
    <row r="174">
      <c r="A174" s="1" t="s">
        <v>695</v>
      </c>
      <c r="B174" s="3" t="str">
        <f>Sheet1!C174</f>
        <v>Parker Camp 1st</v>
      </c>
      <c r="C174" s="39" t="s">
        <v>696</v>
      </c>
      <c r="D174" s="3">
        <f>Sheet1!D174</f>
        <v>1925</v>
      </c>
      <c r="E174" s="1" t="s">
        <v>697</v>
      </c>
      <c r="F174" s="3">
        <f>Sheet1!E174</f>
        <v>1932</v>
      </c>
      <c r="G174" s="1" t="s">
        <v>698</v>
      </c>
      <c r="H174" s="3">
        <f>IF(Sheet1!K174, 1, 0)
</f>
        <v>1</v>
      </c>
      <c r="I174" s="39" t="s">
        <v>699</v>
      </c>
      <c r="J174" s="3" t="str">
        <f>Sheet1!J174</f>
        <v>Wooden Frame Camp</v>
      </c>
      <c r="K174" s="39" t="s">
        <v>700</v>
      </c>
      <c r="L174" s="3" t="str">
        <f>Sheet1!L174</f>
        <v/>
      </c>
      <c r="M174" s="39" t="s">
        <v>701</v>
      </c>
      <c r="N174" s="3" t="str">
        <f>Sheet1!B174</f>
        <v>parker-camp-1</v>
      </c>
      <c r="O174" s="39" t="s">
        <v>702</v>
      </c>
    </row>
    <row r="175">
      <c r="A175" s="1" t="s">
        <v>695</v>
      </c>
      <c r="B175" s="3" t="str">
        <f>Sheet1!C175</f>
        <v>Parker Camp 2nd</v>
      </c>
      <c r="C175" s="39" t="s">
        <v>696</v>
      </c>
      <c r="D175" s="3">
        <f>Sheet1!D175</f>
        <v>1932</v>
      </c>
      <c r="E175" s="1" t="s">
        <v>697</v>
      </c>
      <c r="F175" s="3">
        <f>Sheet1!E175</f>
        <v>1989</v>
      </c>
      <c r="G175" s="1" t="s">
        <v>698</v>
      </c>
      <c r="H175" s="3">
        <f>IF(Sheet1!K175, 1, 0)
</f>
        <v>1</v>
      </c>
      <c r="I175" s="39" t="s">
        <v>699</v>
      </c>
      <c r="J175" s="3" t="str">
        <f>Sheet1!J175</f>
        <v>Buchanan</v>
      </c>
      <c r="K175" s="39" t="s">
        <v>700</v>
      </c>
      <c r="L175" s="3" t="str">
        <f>Sheet1!L175</f>
        <v/>
      </c>
      <c r="M175" s="39" t="s">
        <v>701</v>
      </c>
      <c r="N175" s="3" t="str">
        <f>Sheet1!B175</f>
        <v>parker-camp-2</v>
      </c>
      <c r="O175" s="39" t="s">
        <v>702</v>
      </c>
    </row>
    <row r="176">
      <c r="A176" s="1" t="s">
        <v>695</v>
      </c>
      <c r="B176" s="3" t="str">
        <f>Sheet1!C176</f>
        <v>Patch Camp</v>
      </c>
      <c r="C176" s="39" t="s">
        <v>696</v>
      </c>
      <c r="D176" s="3">
        <f>Sheet1!D176</f>
        <v>1924</v>
      </c>
      <c r="E176" s="1" t="s">
        <v>697</v>
      </c>
      <c r="F176" s="3">
        <f>Sheet1!E176</f>
        <v>1929</v>
      </c>
      <c r="G176" s="1" t="s">
        <v>698</v>
      </c>
      <c r="H176" s="3">
        <f>IF(Sheet1!K176, 1, 0)
</f>
        <v>0</v>
      </c>
      <c r="I176" s="39" t="s">
        <v>699</v>
      </c>
      <c r="J176" s="3" t="str">
        <f>Sheet1!J176</f>
        <v/>
      </c>
      <c r="K176" s="39" t="s">
        <v>700</v>
      </c>
      <c r="L176" s="3" t="str">
        <f>Sheet1!L176</f>
        <v>Same structure as Gates Camp according to 1924 guidebook</v>
      </c>
      <c r="M176" s="39" t="s">
        <v>701</v>
      </c>
      <c r="N176" s="3" t="str">
        <f>Sheet1!B176</f>
        <v>patch-camp</v>
      </c>
      <c r="O176" s="39" t="s">
        <v>702</v>
      </c>
    </row>
    <row r="177">
      <c r="A177" s="1" t="s">
        <v>695</v>
      </c>
      <c r="B177" s="3" t="str">
        <f>Sheet1!C177</f>
        <v>Peru Peak Shelter</v>
      </c>
      <c r="C177" s="39" t="s">
        <v>696</v>
      </c>
      <c r="D177" s="3">
        <f>Sheet1!D177</f>
        <v>1966</v>
      </c>
      <c r="E177" s="1" t="s">
        <v>697</v>
      </c>
      <c r="F177" s="3" t="str">
        <f>Sheet1!E177</f>
        <v/>
      </c>
      <c r="G177" s="1" t="s">
        <v>698</v>
      </c>
      <c r="H177" s="3">
        <f>IF(Sheet1!K177, 1, 0)
</f>
        <v>1</v>
      </c>
      <c r="I177" s="39" t="s">
        <v>699</v>
      </c>
      <c r="J177" s="3" t="str">
        <f>Sheet1!J177</f>
        <v>Log Lean-to</v>
      </c>
      <c r="K177" s="39" t="s">
        <v>700</v>
      </c>
      <c r="L177" s="3" t="str">
        <f>Sheet1!L177</f>
        <v>Rebuilt in 1979,2000, 2011</v>
      </c>
      <c r="M177" s="39" t="s">
        <v>701</v>
      </c>
      <c r="N177" s="3" t="str">
        <f>Sheet1!B177</f>
        <v>peru-peak-shelter</v>
      </c>
      <c r="O177" s="39" t="s">
        <v>702</v>
      </c>
    </row>
    <row r="178">
      <c r="A178" s="1" t="s">
        <v>695</v>
      </c>
      <c r="B178" s="3" t="str">
        <f>Sheet1!C178</f>
        <v>Pico Camp 1st</v>
      </c>
      <c r="C178" s="39" t="s">
        <v>696</v>
      </c>
      <c r="D178" s="3">
        <f>Sheet1!D178</f>
        <v>1925</v>
      </c>
      <c r="E178" s="1" t="s">
        <v>697</v>
      </c>
      <c r="F178" s="3">
        <f>Sheet1!E178</f>
        <v>1958</v>
      </c>
      <c r="G178" s="1" t="s">
        <v>698</v>
      </c>
      <c r="H178" s="3">
        <f>IF(Sheet1!K178, 1, 0)
</f>
        <v>1</v>
      </c>
      <c r="I178" s="39" t="s">
        <v>699</v>
      </c>
      <c r="J178" s="3" t="str">
        <f>Sheet1!J178</f>
        <v>Log Lean-to</v>
      </c>
      <c r="K178" s="39" t="s">
        <v>700</v>
      </c>
      <c r="L178" s="3" t="str">
        <f>Sheet1!L178</f>
        <v/>
      </c>
      <c r="M178" s="39" t="s">
        <v>701</v>
      </c>
      <c r="N178" s="3" t="str">
        <f>Sheet1!B178</f>
        <v>pico-camp-1</v>
      </c>
      <c r="O178" s="39" t="s">
        <v>702</v>
      </c>
    </row>
    <row r="179">
      <c r="A179" s="1" t="s">
        <v>695</v>
      </c>
      <c r="B179" s="3" t="str">
        <f>Sheet1!C179</f>
        <v>Pico Camp 2nd</v>
      </c>
      <c r="C179" s="39" t="s">
        <v>696</v>
      </c>
      <c r="D179" s="3">
        <f>Sheet1!D179</f>
        <v>1960</v>
      </c>
      <c r="E179" s="1" t="s">
        <v>697</v>
      </c>
      <c r="F179" s="3" t="str">
        <f>Sheet1!E179</f>
        <v/>
      </c>
      <c r="G179" s="1" t="s">
        <v>698</v>
      </c>
      <c r="H179" s="3">
        <f>IF(Sheet1!K179, 1, 0)
</f>
        <v>1</v>
      </c>
      <c r="I179" s="39" t="s">
        <v>699</v>
      </c>
      <c r="J179" s="3" t="str">
        <f>Sheet1!J179</f>
        <v/>
      </c>
      <c r="K179" s="39" t="s">
        <v>700</v>
      </c>
      <c r="L179" s="3" t="str">
        <f>Sheet1!L179</f>
        <v/>
      </c>
      <c r="M179" s="39" t="s">
        <v>701</v>
      </c>
      <c r="N179" s="3" t="str">
        <f>Sheet1!B179</f>
        <v>pico-camp-2</v>
      </c>
      <c r="O179" s="39" t="s">
        <v>702</v>
      </c>
    </row>
    <row r="180">
      <c r="A180" s="1" t="s">
        <v>695</v>
      </c>
      <c r="B180" s="3" t="str">
        <f>Sheet1!C180</f>
        <v>Porky Lodge</v>
      </c>
      <c r="C180" s="39" t="s">
        <v>696</v>
      </c>
      <c r="D180" s="3">
        <f>Sheet1!D180</f>
        <v>1927</v>
      </c>
      <c r="E180" s="1" t="s">
        <v>697</v>
      </c>
      <c r="F180" s="3">
        <f>Sheet1!E180</f>
        <v>1939</v>
      </c>
      <c r="G180" s="1" t="s">
        <v>698</v>
      </c>
      <c r="H180" s="3">
        <f>IF(Sheet1!K180, 1, 0)
</f>
        <v>1</v>
      </c>
      <c r="I180" s="39" t="s">
        <v>699</v>
      </c>
      <c r="J180" s="3" t="str">
        <f>Sheet1!J180</f>
        <v>Stone Shelter with bunks</v>
      </c>
      <c r="K180" s="39" t="s">
        <v>700</v>
      </c>
      <c r="L180" s="3" t="str">
        <f>Sheet1!L180</f>
        <v>Also called the Stone Hut</v>
      </c>
      <c r="M180" s="39" t="s">
        <v>701</v>
      </c>
      <c r="N180" s="3" t="str">
        <f>Sheet1!B180</f>
        <v>porky-lodge</v>
      </c>
      <c r="O180" s="39" t="s">
        <v>702</v>
      </c>
    </row>
    <row r="181">
      <c r="A181" s="1" t="s">
        <v>695</v>
      </c>
      <c r="B181" s="3" t="str">
        <f>Sheet1!C181</f>
        <v>Puffer Camp</v>
      </c>
      <c r="C181" s="39" t="s">
        <v>696</v>
      </c>
      <c r="D181" s="3">
        <f>Sheet1!D181</f>
        <v>1954</v>
      </c>
      <c r="E181" s="1" t="s">
        <v>697</v>
      </c>
      <c r="F181" s="3">
        <f>Sheet1!E181</f>
        <v>1975</v>
      </c>
      <c r="G181" s="1" t="s">
        <v>698</v>
      </c>
      <c r="H181" s="3">
        <f>IF(Sheet1!K181, 1, 0)
</f>
        <v>1</v>
      </c>
      <c r="I181" s="39" t="s">
        <v>699</v>
      </c>
      <c r="J181" s="3" t="str">
        <f>Sheet1!J181</f>
        <v>Wood Log Camp</v>
      </c>
      <c r="K181" s="39" t="s">
        <v>700</v>
      </c>
      <c r="L181" s="3" t="str">
        <f>Sheet1!L181</f>
        <v/>
      </c>
      <c r="M181" s="39" t="s">
        <v>701</v>
      </c>
      <c r="N181" s="3" t="str">
        <f>Sheet1!B181</f>
        <v>puffer-camp</v>
      </c>
      <c r="O181" s="39" t="s">
        <v>702</v>
      </c>
    </row>
    <row r="182">
      <c r="A182" s="1" t="s">
        <v>695</v>
      </c>
      <c r="B182" s="3" t="str">
        <f>Sheet1!C182</f>
        <v>Puffer Shelter</v>
      </c>
      <c r="C182" s="39" t="s">
        <v>696</v>
      </c>
      <c r="D182" s="3">
        <f>Sheet1!D182</f>
        <v>1975</v>
      </c>
      <c r="E182" s="1" t="s">
        <v>697</v>
      </c>
      <c r="F182" s="3" t="str">
        <f>Sheet1!E182</f>
        <v/>
      </c>
      <c r="G182" s="1" t="s">
        <v>698</v>
      </c>
      <c r="H182" s="3">
        <f>IF(Sheet1!K182, 1, 0)
</f>
        <v>1</v>
      </c>
      <c r="I182" s="39" t="s">
        <v>699</v>
      </c>
      <c r="J182" s="3" t="str">
        <f>Sheet1!J182</f>
        <v>Wood frame shelter</v>
      </c>
      <c r="K182" s="39" t="s">
        <v>700</v>
      </c>
      <c r="L182" s="3" t="str">
        <f>Sheet1!L182</f>
        <v/>
      </c>
      <c r="M182" s="39" t="s">
        <v>701</v>
      </c>
      <c r="N182" s="3" t="str">
        <f>Sheet1!B182</f>
        <v>puffer-shelter</v>
      </c>
      <c r="O182" s="39" t="s">
        <v>702</v>
      </c>
    </row>
    <row r="183">
      <c r="A183" s="1" t="s">
        <v>695</v>
      </c>
      <c r="B183" s="3" t="str">
        <f>Sheet1!C183</f>
        <v>Rabbit's Nest</v>
      </c>
      <c r="C183" s="39" t="s">
        <v>696</v>
      </c>
      <c r="D183" s="3">
        <f>Sheet1!D183</f>
        <v>1953</v>
      </c>
      <c r="E183" s="1" t="s">
        <v>697</v>
      </c>
      <c r="F183" s="3" t="str">
        <f>Sheet1!E183</f>
        <v/>
      </c>
      <c r="G183" s="1" t="s">
        <v>698</v>
      </c>
      <c r="H183" s="3">
        <f>IF(Sheet1!K183, 1, 0)
</f>
        <v>0</v>
      </c>
      <c r="I183" s="39" t="s">
        <v>699</v>
      </c>
      <c r="J183" s="3" t="str">
        <f>Sheet1!J183</f>
        <v>Wood frame Camp</v>
      </c>
      <c r="K183" s="39" t="s">
        <v>700</v>
      </c>
      <c r="L183" s="3" t="str">
        <f>Sheet1!L183</f>
        <v>Are you sure you want to keep publishing this?</v>
      </c>
      <c r="M183" s="39" t="s">
        <v>701</v>
      </c>
      <c r="N183" s="3" t="str">
        <f>Sheet1!B183</f>
        <v>rabbits-nest</v>
      </c>
      <c r="O183" s="39" t="s">
        <v>702</v>
      </c>
    </row>
    <row r="184">
      <c r="A184" s="1" t="s">
        <v>695</v>
      </c>
      <c r="B184" s="3" t="str">
        <f>Sheet1!C184</f>
        <v>Randall Lumber Camp</v>
      </c>
      <c r="C184" s="39" t="s">
        <v>696</v>
      </c>
      <c r="D184" s="3">
        <f>Sheet1!D184</f>
        <v>1911</v>
      </c>
      <c r="E184" s="1" t="s">
        <v>697</v>
      </c>
      <c r="F184" s="3">
        <f>Sheet1!E184</f>
        <v>1917</v>
      </c>
      <c r="G184" s="1" t="s">
        <v>698</v>
      </c>
      <c r="H184" s="3">
        <f>IF(Sheet1!K184, 1, 0)
</f>
        <v>0</v>
      </c>
      <c r="I184" s="39" t="s">
        <v>699</v>
      </c>
      <c r="J184" s="3" t="str">
        <f>Sheet1!J184</f>
        <v>Lumber Camp</v>
      </c>
      <c r="K184" s="39" t="s">
        <v>700</v>
      </c>
      <c r="L184" s="3" t="str">
        <f>Sheet1!L184</f>
        <v>Not sure this is correct. The photo shown is actually the same photo of site #71 in Little River State Park book "the Beauiful Vale Above the Falls" pg.26,67. Although  1st GB shows trail ascending Gleason Brook to the summit in the area as descrribed so it just may be that this is not the correct  picture.</v>
      </c>
      <c r="M184" s="39" t="s">
        <v>701</v>
      </c>
      <c r="N184" s="3" t="str">
        <f>Sheet1!B184</f>
        <v>randall-lumber-camp</v>
      </c>
      <c r="O184" s="39" t="s">
        <v>702</v>
      </c>
    </row>
    <row r="185">
      <c r="A185" s="1" t="s">
        <v>695</v>
      </c>
      <c r="B185" s="3" t="str">
        <f>Sheet1!C185</f>
        <v>Ritterbush Camp</v>
      </c>
      <c r="C185" s="39" t="s">
        <v>696</v>
      </c>
      <c r="D185" s="3">
        <f>Sheet1!D185</f>
        <v>1933</v>
      </c>
      <c r="E185" s="1" t="s">
        <v>697</v>
      </c>
      <c r="F185" s="3">
        <f>Sheet1!E185</f>
        <v>1999</v>
      </c>
      <c r="G185" s="1" t="s">
        <v>698</v>
      </c>
      <c r="H185" s="3">
        <f>IF(Sheet1!K185, 1, 0)
</f>
        <v>1</v>
      </c>
      <c r="I185" s="39" t="s">
        <v>699</v>
      </c>
      <c r="J185" s="3" t="str">
        <f>Sheet1!J185</f>
        <v>Buchanan</v>
      </c>
      <c r="K185" s="39" t="s">
        <v>700</v>
      </c>
      <c r="L185" s="3" t="str">
        <f>Sheet1!L185</f>
        <v/>
      </c>
      <c r="M185" s="39" t="s">
        <v>701</v>
      </c>
      <c r="N185" s="3" t="str">
        <f>Sheet1!B185</f>
        <v>ritterbush-camp</v>
      </c>
      <c r="O185" s="39" t="s">
        <v>702</v>
      </c>
    </row>
    <row r="186">
      <c r="A186" s="1" t="s">
        <v>695</v>
      </c>
      <c r="B186" s="3" t="str">
        <f>Sheet1!C186</f>
        <v>Ritterbush Lodge</v>
      </c>
      <c r="C186" s="39" t="s">
        <v>696</v>
      </c>
      <c r="D186" s="3">
        <f>Sheet1!D186</f>
        <v>1924</v>
      </c>
      <c r="E186" s="1" t="s">
        <v>697</v>
      </c>
      <c r="F186" s="3">
        <f>Sheet1!E186</f>
        <v>1933</v>
      </c>
      <c r="G186" s="1" t="s">
        <v>698</v>
      </c>
      <c r="H186" s="3">
        <f>IF(Sheet1!K186, 1, 0)
</f>
        <v>1</v>
      </c>
      <c r="I186" s="39" t="s">
        <v>699</v>
      </c>
      <c r="J186" s="3" t="str">
        <f>Sheet1!J186</f>
        <v>Wood frame Camp</v>
      </c>
      <c r="K186" s="39" t="s">
        <v>700</v>
      </c>
      <c r="L186" s="3" t="str">
        <f>Sheet1!L186</f>
        <v>GB says this held 24, website says 8</v>
      </c>
      <c r="M186" s="39" t="s">
        <v>701</v>
      </c>
      <c r="N186" s="3" t="str">
        <f>Sheet1!B186</f>
        <v>ritterbush-lodge</v>
      </c>
      <c r="O186" s="39" t="s">
        <v>702</v>
      </c>
    </row>
    <row r="187">
      <c r="A187" s="1" t="s">
        <v>695</v>
      </c>
      <c r="B187" s="3" t="str">
        <f>Sheet1!C187</f>
        <v>Rolston's Rest 1st</v>
      </c>
      <c r="C187" s="39" t="s">
        <v>696</v>
      </c>
      <c r="D187" s="3">
        <f>Sheet1!D187</f>
        <v>1966</v>
      </c>
      <c r="E187" s="1" t="s">
        <v>697</v>
      </c>
      <c r="F187" s="3">
        <f>Sheet1!E187</f>
        <v>2004</v>
      </c>
      <c r="G187" s="1" t="s">
        <v>698</v>
      </c>
      <c r="H187" s="3">
        <f>IF(Sheet1!K187, 1, 0)
</f>
        <v>1</v>
      </c>
      <c r="I187" s="39" t="s">
        <v>699</v>
      </c>
      <c r="J187" s="3" t="str">
        <f>Sheet1!J187</f>
        <v>Wood frame shelter</v>
      </c>
      <c r="K187" s="39" t="s">
        <v>700</v>
      </c>
      <c r="L187" s="3" t="str">
        <f>Sheet1!L187</f>
        <v/>
      </c>
      <c r="M187" s="39" t="s">
        <v>701</v>
      </c>
      <c r="N187" s="3" t="str">
        <f>Sheet1!B187</f>
        <v>rolstons-rest-1</v>
      </c>
      <c r="O187" s="39" t="s">
        <v>702</v>
      </c>
    </row>
    <row r="188">
      <c r="A188" s="1" t="s">
        <v>695</v>
      </c>
      <c r="B188" s="3" t="str">
        <f>Sheet1!C188</f>
        <v>Rolstons Rest 2nd</v>
      </c>
      <c r="C188" s="39" t="s">
        <v>696</v>
      </c>
      <c r="D188" s="3">
        <f>Sheet1!D188</f>
        <v>2005</v>
      </c>
      <c r="E188" s="1" t="s">
        <v>697</v>
      </c>
      <c r="F188" s="3" t="str">
        <f>Sheet1!E188</f>
        <v/>
      </c>
      <c r="G188" s="1" t="s">
        <v>698</v>
      </c>
      <c r="H188" s="3">
        <f>IF(Sheet1!K188, 1, 0)
</f>
        <v>1</v>
      </c>
      <c r="I188" s="39" t="s">
        <v>699</v>
      </c>
      <c r="J188" s="3" t="str">
        <f>Sheet1!J188</f>
        <v>Post and Beam</v>
      </c>
      <c r="K188" s="39" t="s">
        <v>700</v>
      </c>
      <c r="L188" s="3" t="str">
        <f>Sheet1!L188</f>
        <v>Tom Abbott</v>
      </c>
      <c r="M188" s="39" t="s">
        <v>701</v>
      </c>
      <c r="N188" s="3" t="str">
        <f>Sheet1!B188</f>
        <v>rolstons-rest-2</v>
      </c>
      <c r="O188" s="39" t="s">
        <v>702</v>
      </c>
    </row>
    <row r="189">
      <c r="A189" s="1" t="s">
        <v>695</v>
      </c>
      <c r="B189" s="3" t="str">
        <f>Sheet1!C189</f>
        <v>RoundTop Shelter</v>
      </c>
      <c r="C189" s="39" t="s">
        <v>696</v>
      </c>
      <c r="D189" s="3">
        <f>Sheet1!D189</f>
        <v>1994</v>
      </c>
      <c r="E189" s="1" t="s">
        <v>697</v>
      </c>
      <c r="F189" s="3" t="str">
        <f>Sheet1!E189</f>
        <v/>
      </c>
      <c r="G189" s="1" t="s">
        <v>698</v>
      </c>
      <c r="H189" s="3">
        <f>IF(Sheet1!K189, 1, 0)
</f>
        <v>1</v>
      </c>
      <c r="I189" s="39" t="s">
        <v>699</v>
      </c>
      <c r="J189" s="3" t="str">
        <f>Sheet1!J189</f>
        <v>Post and Beam</v>
      </c>
      <c r="K189" s="39" t="s">
        <v>700</v>
      </c>
      <c r="L189" s="3" t="str">
        <f>Sheet1!L189</f>
        <v>Todd and Wendy Jenner</v>
      </c>
      <c r="M189" s="39" t="s">
        <v>701</v>
      </c>
      <c r="N189" s="3" t="str">
        <f>Sheet1!B189</f>
        <v>roundtop-shelter</v>
      </c>
      <c r="O189" s="39" t="s">
        <v>702</v>
      </c>
    </row>
    <row r="190">
      <c r="A190" s="1" t="s">
        <v>695</v>
      </c>
      <c r="B190" s="3" t="str">
        <f>Sheet1!C190</f>
        <v>Seth Warner Camp 1st</v>
      </c>
      <c r="C190" s="39" t="s">
        <v>696</v>
      </c>
      <c r="D190" s="3">
        <f>Sheet1!D190</f>
        <v>1929</v>
      </c>
      <c r="E190" s="1" t="s">
        <v>697</v>
      </c>
      <c r="F190" s="3">
        <f>Sheet1!E190</f>
        <v>1938</v>
      </c>
      <c r="G190" s="1" t="s">
        <v>698</v>
      </c>
      <c r="H190" s="3">
        <f>IF(Sheet1!K190, 1, 0)
</f>
        <v>1</v>
      </c>
      <c r="I190" s="39" t="s">
        <v>699</v>
      </c>
      <c r="J190" s="3" t="str">
        <f>Sheet1!J190</f>
        <v>Wood frame Camp</v>
      </c>
      <c r="K190" s="39" t="s">
        <v>700</v>
      </c>
      <c r="L190" s="3" t="str">
        <f>Sheet1!L190</f>
        <v/>
      </c>
      <c r="M190" s="39" t="s">
        <v>701</v>
      </c>
      <c r="N190" s="3" t="str">
        <f>Sheet1!B190</f>
        <v>seth-warner-camp-1</v>
      </c>
      <c r="O190" s="39" t="s">
        <v>702</v>
      </c>
    </row>
    <row r="191">
      <c r="A191" s="1" t="s">
        <v>695</v>
      </c>
      <c r="B191" s="3" t="str">
        <f>Sheet1!C191</f>
        <v>Seth Warner Camp 2nd</v>
      </c>
      <c r="C191" s="39" t="s">
        <v>696</v>
      </c>
      <c r="D191" s="3">
        <f>Sheet1!D191</f>
        <v>1938</v>
      </c>
      <c r="E191" s="1" t="s">
        <v>697</v>
      </c>
      <c r="F191" s="3">
        <f>Sheet1!E191</f>
        <v>1965</v>
      </c>
      <c r="G191" s="1" t="s">
        <v>698</v>
      </c>
      <c r="H191" s="3">
        <f>IF(Sheet1!K191, 1, 0)
</f>
        <v>1</v>
      </c>
      <c r="I191" s="39" t="s">
        <v>699</v>
      </c>
      <c r="J191" s="3" t="str">
        <f>Sheet1!J191</f>
        <v>Wood frame Camp</v>
      </c>
      <c r="K191" s="39" t="s">
        <v>700</v>
      </c>
      <c r="L191" s="3" t="str">
        <f>Sheet1!L191</f>
        <v/>
      </c>
      <c r="M191" s="39" t="s">
        <v>701</v>
      </c>
      <c r="N191" s="3" t="str">
        <f>Sheet1!B191</f>
        <v>seth-warner-camp-2</v>
      </c>
      <c r="O191" s="39" t="s">
        <v>702</v>
      </c>
    </row>
    <row r="192">
      <c r="A192" s="1" t="s">
        <v>695</v>
      </c>
      <c r="B192" s="3" t="str">
        <f>Sheet1!C192</f>
        <v>Seth Warner Shelter 1st</v>
      </c>
      <c r="C192" s="39" t="s">
        <v>696</v>
      </c>
      <c r="D192" s="3">
        <f>Sheet1!D192</f>
        <v>1965</v>
      </c>
      <c r="E192" s="1" t="s">
        <v>697</v>
      </c>
      <c r="F192" s="3">
        <f>Sheet1!E192</f>
        <v>1971</v>
      </c>
      <c r="G192" s="1" t="s">
        <v>698</v>
      </c>
      <c r="H192" s="3">
        <f>IF(Sheet1!K192, 1, 0)
</f>
        <v>1</v>
      </c>
      <c r="I192" s="39" t="s">
        <v>699</v>
      </c>
      <c r="J192" s="3" t="str">
        <f>Sheet1!J192</f>
        <v>Wood frame Shelter</v>
      </c>
      <c r="K192" s="39" t="s">
        <v>700</v>
      </c>
      <c r="L192" s="3" t="str">
        <f>Sheet1!L192</f>
        <v>Built by carpenter trainees of the Manpower Development Training Act</v>
      </c>
      <c r="M192" s="39" t="s">
        <v>701</v>
      </c>
      <c r="N192" s="3" t="str">
        <f>Sheet1!B192</f>
        <v>seth-warner-shelter-1</v>
      </c>
      <c r="O192" s="39" t="s">
        <v>702</v>
      </c>
    </row>
    <row r="193">
      <c r="A193" s="1" t="s">
        <v>695</v>
      </c>
      <c r="B193" s="3" t="str">
        <f>Sheet1!C193</f>
        <v>Seth Warner Shelter 2nd</v>
      </c>
      <c r="C193" s="39" t="s">
        <v>696</v>
      </c>
      <c r="D193" s="3">
        <f>Sheet1!D193</f>
        <v>1972</v>
      </c>
      <c r="E193" s="1" t="s">
        <v>697</v>
      </c>
      <c r="F193" s="3">
        <f>Sheet1!E193</f>
        <v>2023</v>
      </c>
      <c r="G193" s="1" t="s">
        <v>698</v>
      </c>
      <c r="H193" s="3">
        <f>IF(Sheet1!K193, 1, 0)
</f>
        <v>1</v>
      </c>
      <c r="I193" s="39" t="s">
        <v>699</v>
      </c>
      <c r="J193" s="3" t="str">
        <f>Sheet1!J193</f>
        <v/>
      </c>
      <c r="K193" s="39" t="s">
        <v>700</v>
      </c>
      <c r="L193" s="3" t="str">
        <f>Sheet1!L193</f>
        <v/>
      </c>
      <c r="M193" s="39" t="s">
        <v>701</v>
      </c>
      <c r="N193" s="3" t="str">
        <f>Sheet1!B193</f>
        <v>seth-warner-shelter-2</v>
      </c>
      <c r="O193" s="39" t="s">
        <v>702</v>
      </c>
    </row>
    <row r="194">
      <c r="A194" s="1" t="s">
        <v>695</v>
      </c>
      <c r="B194" s="3" t="str">
        <f>Sheet1!C194</f>
        <v>Seth Warner Shelter 3rd</v>
      </c>
      <c r="C194" s="39" t="s">
        <v>696</v>
      </c>
      <c r="D194" s="3">
        <f>Sheet1!D194</f>
        <v>2023</v>
      </c>
      <c r="E194" s="1" t="s">
        <v>697</v>
      </c>
      <c r="F194" s="3" t="str">
        <f>Sheet1!E194</f>
        <v/>
      </c>
      <c r="G194" s="1" t="s">
        <v>698</v>
      </c>
      <c r="H194" s="3">
        <f>IF(Sheet1!K194, 1, 0)
</f>
        <v>1</v>
      </c>
      <c r="I194" s="39" t="s">
        <v>699</v>
      </c>
      <c r="J194" s="3" t="str">
        <f>Sheet1!J194</f>
        <v>Post and Beam</v>
      </c>
      <c r="K194" s="39" t="s">
        <v>700</v>
      </c>
      <c r="L194" s="3" t="str">
        <f>Sheet1!L194</f>
        <v/>
      </c>
      <c r="M194" s="39" t="s">
        <v>701</v>
      </c>
      <c r="N194" s="3" t="str">
        <f>Sheet1!B194</f>
        <v>seth-warner-shelter-3</v>
      </c>
      <c r="O194" s="39" t="s">
        <v>702</v>
      </c>
    </row>
    <row r="195">
      <c r="A195" s="1" t="s">
        <v>695</v>
      </c>
      <c r="B195" s="3" t="str">
        <f>Sheet1!C195</f>
        <v>Shattuck Lodge</v>
      </c>
      <c r="C195" s="39" t="s">
        <v>696</v>
      </c>
      <c r="D195" s="3">
        <f>Sheet1!D195</f>
        <v>1913</v>
      </c>
      <c r="E195" s="1" t="s">
        <v>697</v>
      </c>
      <c r="F195" s="3">
        <f>Sheet1!E195</f>
        <v>1946</v>
      </c>
      <c r="G195" s="1" t="s">
        <v>698</v>
      </c>
      <c r="H195" s="3">
        <f>IF(Sheet1!K195, 1, 0)
</f>
        <v>1</v>
      </c>
      <c r="I195" s="39" t="s">
        <v>699</v>
      </c>
      <c r="J195" s="3" t="str">
        <f>Sheet1!J195</f>
        <v>Originally a logging camp and called Shattuck Lodge.  Then converted to Mould Lodge</v>
      </c>
      <c r="K195" s="39" t="s">
        <v>700</v>
      </c>
      <c r="L195" s="3" t="str">
        <f>Sheet1!L195</f>
        <v/>
      </c>
      <c r="M195" s="39" t="s">
        <v>701</v>
      </c>
      <c r="N195" s="3" t="str">
        <f>Sheet1!B195</f>
        <v>shattuck-lodge</v>
      </c>
      <c r="O195" s="39" t="s">
        <v>702</v>
      </c>
    </row>
    <row r="196">
      <c r="A196" s="1" t="s">
        <v>695</v>
      </c>
      <c r="B196" s="3" t="str">
        <f>Sheet1!C196</f>
        <v>Shooting Star Shelter 1st</v>
      </c>
      <c r="C196" s="39" t="s">
        <v>696</v>
      </c>
      <c r="D196" s="3">
        <f>Sheet1!D196</f>
        <v>1934</v>
      </c>
      <c r="E196" s="1" t="s">
        <v>697</v>
      </c>
      <c r="F196" s="3">
        <f>Sheet1!E196</f>
        <v>2001</v>
      </c>
      <c r="G196" s="1" t="s">
        <v>698</v>
      </c>
      <c r="H196" s="3">
        <f>IF(Sheet1!K196, 1, 0)
</f>
        <v>1</v>
      </c>
      <c r="I196" s="39" t="s">
        <v>699</v>
      </c>
      <c r="J196" s="3" t="str">
        <f>Sheet1!J196</f>
        <v>Log lean-to</v>
      </c>
      <c r="K196" s="39" t="s">
        <v>700</v>
      </c>
      <c r="L196" s="3" t="str">
        <f>Sheet1!L196</f>
        <v/>
      </c>
      <c r="M196" s="39" t="s">
        <v>701</v>
      </c>
      <c r="N196" s="3" t="str">
        <f>Sheet1!B196</f>
        <v>shooting-star-shelter-1</v>
      </c>
      <c r="O196" s="39" t="s">
        <v>702</v>
      </c>
    </row>
    <row r="197">
      <c r="A197" s="1" t="s">
        <v>695</v>
      </c>
      <c r="B197" s="3" t="str">
        <f>Sheet1!C197</f>
        <v>Shooting Star Shelter 2nd</v>
      </c>
      <c r="C197" s="39" t="s">
        <v>696</v>
      </c>
      <c r="D197" s="3">
        <f>Sheet1!D197</f>
        <v>2002</v>
      </c>
      <c r="E197" s="1" t="s">
        <v>697</v>
      </c>
      <c r="F197" s="3" t="str">
        <f>Sheet1!E197</f>
        <v/>
      </c>
      <c r="G197" s="1" t="s">
        <v>698</v>
      </c>
      <c r="H197" s="3">
        <f>IF(Sheet1!K197, 1, 0)
</f>
        <v>1</v>
      </c>
      <c r="I197" s="39" t="s">
        <v>699</v>
      </c>
      <c r="J197" s="3" t="str">
        <f>Sheet1!J197</f>
        <v>Post and Beam</v>
      </c>
      <c r="K197" s="39" t="s">
        <v>700</v>
      </c>
      <c r="L197" s="3" t="str">
        <f>Sheet1!L197</f>
        <v>GB says built in 2001</v>
      </c>
      <c r="M197" s="39" t="s">
        <v>701</v>
      </c>
      <c r="N197" s="3" t="str">
        <f>Sheet1!B197</f>
        <v>shooting-star-shelter-2</v>
      </c>
      <c r="O197" s="39" t="s">
        <v>702</v>
      </c>
    </row>
    <row r="198">
      <c r="A198" s="1" t="s">
        <v>695</v>
      </c>
      <c r="B198" s="3" t="str">
        <f>Sheet1!C198</f>
        <v>Skyline Lodge 1st</v>
      </c>
      <c r="C198" s="39" t="s">
        <v>696</v>
      </c>
      <c r="D198" s="3">
        <f>Sheet1!D198</f>
        <v>1954</v>
      </c>
      <c r="E198" s="1" t="s">
        <v>697</v>
      </c>
      <c r="F198" s="3">
        <f>Sheet1!E198</f>
        <v>1986</v>
      </c>
      <c r="G198" s="1" t="s">
        <v>698</v>
      </c>
      <c r="H198" s="3">
        <f>IF(Sheet1!K198, 1, 0)
</f>
        <v>1</v>
      </c>
      <c r="I198" s="39" t="s">
        <v>699</v>
      </c>
      <c r="J198" s="3" t="str">
        <f>Sheet1!J198</f>
        <v>Log Cabin</v>
      </c>
      <c r="K198" s="39" t="s">
        <v>700</v>
      </c>
      <c r="L198" s="3" t="str">
        <f>Sheet1!L198</f>
        <v>Built by Middlebury Mt Club</v>
      </c>
      <c r="M198" s="39" t="s">
        <v>701</v>
      </c>
      <c r="N198" s="3" t="str">
        <f>Sheet1!B198</f>
        <v>skyline-lodge-1</v>
      </c>
      <c r="O198" s="39" t="s">
        <v>702</v>
      </c>
    </row>
    <row r="199">
      <c r="A199" s="1" t="s">
        <v>695</v>
      </c>
      <c r="B199" s="3" t="str">
        <f>Sheet1!C199</f>
        <v>Skyline Lodge 2nd</v>
      </c>
      <c r="C199" s="39" t="s">
        <v>696</v>
      </c>
      <c r="D199" s="3">
        <f>Sheet1!D199</f>
        <v>1987</v>
      </c>
      <c r="E199" s="1" t="s">
        <v>697</v>
      </c>
      <c r="F199" s="3" t="str">
        <f>Sheet1!E199</f>
        <v/>
      </c>
      <c r="G199" s="1" t="s">
        <v>698</v>
      </c>
      <c r="H199" s="3">
        <f>IF(Sheet1!K199, 1, 0)
</f>
        <v>1</v>
      </c>
      <c r="I199" s="39" t="s">
        <v>699</v>
      </c>
      <c r="J199" s="3" t="str">
        <f>Sheet1!J199</f>
        <v>Log Cabin</v>
      </c>
      <c r="K199" s="39" t="s">
        <v>700</v>
      </c>
      <c r="L199" s="3" t="str">
        <f>Sheet1!L199</f>
        <v>Built by GMC and USFS</v>
      </c>
      <c r="M199" s="39" t="s">
        <v>701</v>
      </c>
      <c r="N199" s="3" t="str">
        <f>Sheet1!B199</f>
        <v>skyline-lodge-2</v>
      </c>
      <c r="O199" s="39" t="s">
        <v>702</v>
      </c>
    </row>
    <row r="200">
      <c r="A200" s="1" t="s">
        <v>695</v>
      </c>
      <c r="B200" s="3" t="str">
        <f>Sheet1!C200</f>
        <v>Spring Lake Shelter</v>
      </c>
      <c r="C200" s="39" t="s">
        <v>696</v>
      </c>
      <c r="D200" s="3">
        <f>Sheet1!D200</f>
        <v>1949</v>
      </c>
      <c r="E200" s="1" t="s">
        <v>697</v>
      </c>
      <c r="F200" s="3">
        <f>Sheet1!E200</f>
        <v>1954</v>
      </c>
      <c r="G200" s="1" t="s">
        <v>698</v>
      </c>
      <c r="H200" s="3">
        <f>IF(Sheet1!K200, 1, 0)
</f>
        <v>1</v>
      </c>
      <c r="I200" s="39" t="s">
        <v>699</v>
      </c>
      <c r="J200" s="3" t="str">
        <f>Sheet1!J200</f>
        <v>Wood frame Camp</v>
      </c>
      <c r="K200" s="39" t="s">
        <v>700</v>
      </c>
      <c r="L200" s="3" t="str">
        <f>Sheet1!L200</f>
        <v>Built by Killington Section</v>
      </c>
      <c r="M200" s="39" t="s">
        <v>701</v>
      </c>
      <c r="N200" s="3" t="str">
        <f>Sheet1!B200</f>
        <v>spring-lake-shelter</v>
      </c>
      <c r="O200" s="39" t="s">
        <v>702</v>
      </c>
    </row>
    <row r="201">
      <c r="A201" s="1" t="s">
        <v>695</v>
      </c>
      <c r="B201" s="3" t="str">
        <f>Sheet1!C201</f>
        <v>Spruce Ledge Camp</v>
      </c>
      <c r="C201" s="39" t="s">
        <v>696</v>
      </c>
      <c r="D201" s="3">
        <f>Sheet1!D201</f>
        <v>1999</v>
      </c>
      <c r="E201" s="1" t="s">
        <v>697</v>
      </c>
      <c r="F201" s="3" t="str">
        <f>Sheet1!E201</f>
        <v/>
      </c>
      <c r="G201" s="1" t="s">
        <v>698</v>
      </c>
      <c r="H201" s="3">
        <f>IF(Sheet1!K201, 1, 0)
</f>
        <v>1</v>
      </c>
      <c r="I201" s="39" t="s">
        <v>699</v>
      </c>
      <c r="J201" s="3" t="str">
        <f>Sheet1!J201</f>
        <v>Frame Cabin</v>
      </c>
      <c r="K201" s="39" t="s">
        <v>700</v>
      </c>
      <c r="L201" s="3" t="str">
        <f>Sheet1!L201</f>
        <v/>
      </c>
      <c r="M201" s="39" t="s">
        <v>701</v>
      </c>
      <c r="N201" s="3" t="str">
        <f>Sheet1!B201</f>
        <v>spruce-ledge-camp</v>
      </c>
      <c r="O201" s="39" t="s">
        <v>702</v>
      </c>
    </row>
    <row r="202">
      <c r="A202" s="1" t="s">
        <v>695</v>
      </c>
      <c r="B202" s="3" t="str">
        <f>Sheet1!C202</f>
        <v>Spruce Peak Shelter</v>
      </c>
      <c r="C202" s="39" t="s">
        <v>696</v>
      </c>
      <c r="D202" s="3">
        <f>Sheet1!D202</f>
        <v>1983</v>
      </c>
      <c r="E202" s="1" t="s">
        <v>697</v>
      </c>
      <c r="F202" s="3" t="str">
        <f>Sheet1!E202</f>
        <v/>
      </c>
      <c r="G202" s="1" t="s">
        <v>698</v>
      </c>
      <c r="H202" s="3">
        <f>IF(Sheet1!K202, 1, 0)
</f>
        <v>1</v>
      </c>
      <c r="I202" s="39" t="s">
        <v>699</v>
      </c>
      <c r="J202" s="3" t="str">
        <f>Sheet1!J202</f>
        <v>Log cabin</v>
      </c>
      <c r="K202" s="39" t="s">
        <v>700</v>
      </c>
      <c r="L202" s="3" t="str">
        <f>Sheet1!L202</f>
        <v/>
      </c>
      <c r="M202" s="39" t="s">
        <v>701</v>
      </c>
      <c r="N202" s="3" t="str">
        <f>Sheet1!B202</f>
        <v>spruce-peak-shelter</v>
      </c>
      <c r="O202" s="39" t="s">
        <v>702</v>
      </c>
    </row>
    <row r="203">
      <c r="A203" s="1" t="s">
        <v>695</v>
      </c>
      <c r="B203" s="3" t="str">
        <f>Sheet1!C203</f>
        <v>Starks Nest</v>
      </c>
      <c r="C203" s="39" t="s">
        <v>696</v>
      </c>
      <c r="D203" s="3">
        <f>Sheet1!D203</f>
        <v>1985</v>
      </c>
      <c r="E203" s="1" t="s">
        <v>697</v>
      </c>
      <c r="F203" s="3" t="str">
        <f>Sheet1!E203</f>
        <v/>
      </c>
      <c r="G203" s="1" t="s">
        <v>698</v>
      </c>
      <c r="H203" s="3">
        <f>IF(Sheet1!K203, 1, 0)
</f>
        <v>0</v>
      </c>
      <c r="I203" s="39" t="s">
        <v>699</v>
      </c>
      <c r="J203" s="3" t="str">
        <f>Sheet1!J203</f>
        <v>Wooden Frame Cabin</v>
      </c>
      <c r="K203" s="39" t="s">
        <v>700</v>
      </c>
      <c r="L203" s="3" t="str">
        <f>Sheet1!L203</f>
        <v/>
      </c>
      <c r="M203" s="39" t="s">
        <v>701</v>
      </c>
      <c r="N203" s="3" t="str">
        <f>Sheet1!B203</f>
        <v>starks-nest</v>
      </c>
      <c r="O203" s="39" t="s">
        <v>702</v>
      </c>
    </row>
    <row r="204">
      <c r="A204" s="1" t="s">
        <v>695</v>
      </c>
      <c r="B204" s="3" t="str">
        <f>Sheet1!C204</f>
        <v>Stem Cabin</v>
      </c>
      <c r="C204" s="39" t="s">
        <v>696</v>
      </c>
      <c r="D204" s="3">
        <f>Sheet1!D204</f>
        <v>1964</v>
      </c>
      <c r="E204" s="1" t="s">
        <v>697</v>
      </c>
      <c r="F204" s="3">
        <f>Sheet1!E204</f>
        <v>1970</v>
      </c>
      <c r="G204" s="1" t="s">
        <v>698</v>
      </c>
      <c r="H204" s="3">
        <f>IF(Sheet1!K204, 1, 0)
</f>
        <v>0</v>
      </c>
      <c r="I204" s="39" t="s">
        <v>699</v>
      </c>
      <c r="J204" s="3" t="str">
        <f>Sheet1!J204</f>
        <v>Wooden Frame Cabin</v>
      </c>
      <c r="K204" s="39" t="s">
        <v>700</v>
      </c>
      <c r="L204" s="3" t="str">
        <f>Sheet1!L204</f>
        <v/>
      </c>
      <c r="M204" s="39" t="s">
        <v>701</v>
      </c>
      <c r="N204" s="3" t="str">
        <f>Sheet1!B204</f>
        <v>stem-cabin</v>
      </c>
      <c r="O204" s="39" t="s">
        <v>702</v>
      </c>
    </row>
    <row r="205">
      <c r="A205" s="1" t="s">
        <v>695</v>
      </c>
      <c r="B205" s="3" t="str">
        <f>Sheet1!C205</f>
        <v>Sterling Pond Lodge 1st</v>
      </c>
      <c r="C205" s="39" t="s">
        <v>696</v>
      </c>
      <c r="D205" s="3">
        <f>Sheet1!D205</f>
        <v>1926</v>
      </c>
      <c r="E205" s="1" t="s">
        <v>697</v>
      </c>
      <c r="F205" s="3">
        <f>Sheet1!E205</f>
        <v>1950</v>
      </c>
      <c r="G205" s="1" t="s">
        <v>698</v>
      </c>
      <c r="H205" s="3">
        <f>IF(Sheet1!K205, 1, 0)
</f>
        <v>1</v>
      </c>
      <c r="I205" s="39" t="s">
        <v>699</v>
      </c>
      <c r="J205" s="3" t="str">
        <f>Sheet1!J205</f>
        <v>Log Cabin</v>
      </c>
      <c r="K205" s="39" t="s">
        <v>700</v>
      </c>
      <c r="L205" s="3" t="str">
        <f>Sheet1!L205</f>
        <v/>
      </c>
      <c r="M205" s="39" t="s">
        <v>701</v>
      </c>
      <c r="N205" s="3" t="str">
        <f>Sheet1!B205</f>
        <v>sterling-pond-lodge-1</v>
      </c>
      <c r="O205" s="39" t="s">
        <v>702</v>
      </c>
    </row>
    <row r="206">
      <c r="A206" s="1" t="s">
        <v>695</v>
      </c>
      <c r="B206" s="3" t="str">
        <f>Sheet1!C206</f>
        <v>Sterling Pond Lodge 2nd</v>
      </c>
      <c r="C206" s="39" t="s">
        <v>696</v>
      </c>
      <c r="D206" s="3">
        <f>Sheet1!D206</f>
        <v>1950</v>
      </c>
      <c r="E206" s="1" t="s">
        <v>697</v>
      </c>
      <c r="F206" s="3">
        <f>Sheet1!E206</f>
        <v>1971</v>
      </c>
      <c r="G206" s="1" t="s">
        <v>698</v>
      </c>
      <c r="H206" s="3">
        <f>IF(Sheet1!K206, 1, 0)
</f>
        <v>1</v>
      </c>
      <c r="I206" s="39" t="s">
        <v>699</v>
      </c>
      <c r="J206" s="3" t="str">
        <f>Sheet1!J206</f>
        <v>Buchanan</v>
      </c>
      <c r="K206" s="39" t="s">
        <v>700</v>
      </c>
      <c r="L206" s="3" t="str">
        <f>Sheet1!L206</f>
        <v/>
      </c>
      <c r="M206" s="39" t="s">
        <v>701</v>
      </c>
      <c r="N206" s="3" t="str">
        <f>Sheet1!B206</f>
        <v>sterling-pond-lodge-2</v>
      </c>
      <c r="O206" s="39" t="s">
        <v>702</v>
      </c>
    </row>
    <row r="207">
      <c r="A207" s="1" t="s">
        <v>695</v>
      </c>
      <c r="B207" s="3" t="str">
        <f>Sheet1!C207</f>
        <v>Sterling Pond Shelter 1st</v>
      </c>
      <c r="C207" s="39" t="s">
        <v>696</v>
      </c>
      <c r="D207" s="3">
        <f>Sheet1!D207</f>
        <v>1972</v>
      </c>
      <c r="E207" s="1" t="s">
        <v>697</v>
      </c>
      <c r="F207" s="3">
        <f>Sheet1!E207</f>
        <v>2004</v>
      </c>
      <c r="G207" s="1" t="s">
        <v>698</v>
      </c>
      <c r="H207" s="3">
        <f>IF(Sheet1!K207, 1, 0)
</f>
        <v>1</v>
      </c>
      <c r="I207" s="39" t="s">
        <v>699</v>
      </c>
      <c r="J207" s="3" t="str">
        <f>Sheet1!J207</f>
        <v>Frame shelter by Montpelier Section</v>
      </c>
      <c r="K207" s="39" t="s">
        <v>700</v>
      </c>
      <c r="L207" s="3" t="str">
        <f>Sheet1!L207</f>
        <v>Built by Montpelier Section</v>
      </c>
      <c r="M207" s="39" t="s">
        <v>701</v>
      </c>
      <c r="N207" s="3" t="str">
        <f>Sheet1!B207</f>
        <v>sterling-pond-shelter-1</v>
      </c>
      <c r="O207" s="39" t="s">
        <v>702</v>
      </c>
    </row>
    <row r="208">
      <c r="A208" s="1" t="s">
        <v>695</v>
      </c>
      <c r="B208" s="3" t="str">
        <f>Sheet1!C208</f>
        <v>Sterling Pond Shelter 2nd</v>
      </c>
      <c r="C208" s="39" t="s">
        <v>696</v>
      </c>
      <c r="D208" s="3">
        <f>Sheet1!D208</f>
        <v>2005</v>
      </c>
      <c r="E208" s="1" t="s">
        <v>697</v>
      </c>
      <c r="F208" s="3" t="str">
        <f>Sheet1!E208</f>
        <v/>
      </c>
      <c r="G208" s="1" t="s">
        <v>698</v>
      </c>
      <c r="H208" s="3">
        <f>IF(Sheet1!K208, 1, 0)
</f>
        <v>1</v>
      </c>
      <c r="I208" s="39" t="s">
        <v>699</v>
      </c>
      <c r="J208" s="3" t="str">
        <f>Sheet1!J208</f>
        <v>Wood Frame lean-to</v>
      </c>
      <c r="K208" s="39" t="s">
        <v>700</v>
      </c>
      <c r="L208" s="3" t="str">
        <f>Sheet1!L208</f>
        <v>Built by Montpelier Section</v>
      </c>
      <c r="M208" s="39" t="s">
        <v>701</v>
      </c>
      <c r="N208" s="3" t="str">
        <f>Sheet1!B208</f>
        <v>sterling-pond-shelter-2</v>
      </c>
      <c r="O208" s="39" t="s">
        <v>702</v>
      </c>
    </row>
    <row r="209">
      <c r="A209" s="1" t="s">
        <v>695</v>
      </c>
      <c r="B209" s="3" t="str">
        <f>Sheet1!C209</f>
        <v>Stone Hut</v>
      </c>
      <c r="C209" s="39" t="s">
        <v>696</v>
      </c>
      <c r="D209" s="3">
        <f>Sheet1!D209</f>
        <v>1933</v>
      </c>
      <c r="E209" s="1" t="s">
        <v>697</v>
      </c>
      <c r="F209" s="3" t="str">
        <f>Sheet1!E209</f>
        <v/>
      </c>
      <c r="G209" s="1" t="s">
        <v>698</v>
      </c>
      <c r="H209" s="3">
        <f>IF(Sheet1!K209, 1, 0)
</f>
        <v>0</v>
      </c>
      <c r="I209" s="39" t="s">
        <v>699</v>
      </c>
      <c r="J209" s="3" t="str">
        <f>Sheet1!J209</f>
        <v/>
      </c>
      <c r="K209" s="39" t="s">
        <v>700</v>
      </c>
      <c r="L209" s="3" t="str">
        <f>Sheet1!L209</f>
        <v>On Mt Mansfield</v>
      </c>
      <c r="M209" s="39" t="s">
        <v>701</v>
      </c>
      <c r="N209" s="3" t="str">
        <f>Sheet1!B209</f>
        <v>stone-hut</v>
      </c>
      <c r="O209" s="39" t="s">
        <v>702</v>
      </c>
    </row>
    <row r="210">
      <c r="A210" s="1" t="s">
        <v>695</v>
      </c>
      <c r="B210" s="3" t="str">
        <f>Sheet1!C210</f>
        <v>Stony Brook Shelter 1st</v>
      </c>
      <c r="C210" s="39" t="s">
        <v>696</v>
      </c>
      <c r="D210" s="3">
        <f>Sheet1!D210</f>
        <v>1958</v>
      </c>
      <c r="E210" s="1" t="s">
        <v>697</v>
      </c>
      <c r="F210" s="3">
        <f>Sheet1!E210</f>
        <v>1996</v>
      </c>
      <c r="G210" s="1" t="s">
        <v>698</v>
      </c>
      <c r="H210" s="3">
        <f>IF(Sheet1!K210, 1, 0)
</f>
        <v>1</v>
      </c>
      <c r="I210" s="39" t="s">
        <v>699</v>
      </c>
      <c r="J210" s="3" t="str">
        <f>Sheet1!J210</f>
        <v/>
      </c>
      <c r="K210" s="39" t="s">
        <v>700</v>
      </c>
      <c r="L210" s="3" t="str">
        <f>Sheet1!L210</f>
        <v/>
      </c>
      <c r="M210" s="39" t="s">
        <v>701</v>
      </c>
      <c r="N210" s="3" t="str">
        <f>Sheet1!B210</f>
        <v>stony-brook-shelter-1</v>
      </c>
      <c r="O210" s="39" t="s">
        <v>702</v>
      </c>
    </row>
    <row r="211">
      <c r="A211" s="1" t="s">
        <v>695</v>
      </c>
      <c r="B211" s="3" t="str">
        <f>Sheet1!C211</f>
        <v>Stony Brook Shelter 2nd</v>
      </c>
      <c r="C211" s="39" t="s">
        <v>696</v>
      </c>
      <c r="D211" s="3">
        <f>Sheet1!D211</f>
        <v>1997</v>
      </c>
      <c r="E211" s="1" t="s">
        <v>697</v>
      </c>
      <c r="F211" s="3" t="str">
        <f>Sheet1!E211</f>
        <v/>
      </c>
      <c r="G211" s="1" t="s">
        <v>698</v>
      </c>
      <c r="H211" s="3">
        <f>IF(Sheet1!K211, 1, 0)
</f>
        <v>1</v>
      </c>
      <c r="I211" s="39" t="s">
        <v>699</v>
      </c>
      <c r="J211" s="3" t="str">
        <f>Sheet1!J211</f>
        <v>Moved .8 m south</v>
      </c>
      <c r="K211" s="39" t="s">
        <v>700</v>
      </c>
      <c r="L211" s="3" t="str">
        <f>Sheet1!L211</f>
        <v/>
      </c>
      <c r="M211" s="39" t="s">
        <v>701</v>
      </c>
      <c r="N211" s="3" t="str">
        <f>Sheet1!B211</f>
        <v>stony-brook-shelter-2</v>
      </c>
      <c r="O211" s="39" t="s">
        <v>702</v>
      </c>
    </row>
    <row r="212">
      <c r="A212" s="1" t="s">
        <v>695</v>
      </c>
      <c r="B212" s="3" t="str">
        <f>Sheet1!C212</f>
        <v>Story Spring Shelter</v>
      </c>
      <c r="C212" s="39" t="s">
        <v>696</v>
      </c>
      <c r="D212" s="3">
        <f>Sheet1!D212</f>
        <v>1963</v>
      </c>
      <c r="E212" s="1" t="s">
        <v>697</v>
      </c>
      <c r="F212" s="3" t="str">
        <f>Sheet1!E212</f>
        <v/>
      </c>
      <c r="G212" s="1" t="s">
        <v>698</v>
      </c>
      <c r="H212" s="3">
        <f>IF(Sheet1!K212, 1, 0)
</f>
        <v>1</v>
      </c>
      <c r="I212" s="39" t="s">
        <v>699</v>
      </c>
      <c r="J212" s="3" t="str">
        <f>Sheet1!J212</f>
        <v/>
      </c>
      <c r="K212" s="39" t="s">
        <v>700</v>
      </c>
      <c r="L212" s="3" t="str">
        <f>Sheet1!L212</f>
        <v/>
      </c>
      <c r="M212" s="39" t="s">
        <v>701</v>
      </c>
      <c r="N212" s="3" t="str">
        <f>Sheet1!B212</f>
        <v>story-spring-shelter</v>
      </c>
      <c r="O212" s="39" t="s">
        <v>702</v>
      </c>
    </row>
    <row r="213">
      <c r="A213" s="1" t="s">
        <v>695</v>
      </c>
      <c r="B213" s="3" t="str">
        <f>Sheet1!C213</f>
        <v>Stratton Mountain Vermont Forestry Service Cabin 1st</v>
      </c>
      <c r="C213" s="39" t="s">
        <v>696</v>
      </c>
      <c r="D213" s="3">
        <f>Sheet1!D213</f>
        <v>1917</v>
      </c>
      <c r="E213" s="1" t="s">
        <v>697</v>
      </c>
      <c r="F213" s="3">
        <f>Sheet1!E213</f>
        <v>1934</v>
      </c>
      <c r="G213" s="1" t="s">
        <v>698</v>
      </c>
      <c r="H213" s="3">
        <f>IF(Sheet1!K213, 1, 0)
</f>
        <v>1</v>
      </c>
      <c r="I213" s="39" t="s">
        <v>699</v>
      </c>
      <c r="J213" s="3" t="str">
        <f>Sheet1!J213</f>
        <v>Log Cabin</v>
      </c>
      <c r="K213" s="39" t="s">
        <v>700</v>
      </c>
      <c r="L213" s="3" t="str">
        <f>Sheet1!L213</f>
        <v>At spring below summit. Also called Porky lodge!</v>
      </c>
      <c r="M213" s="39" t="s">
        <v>701</v>
      </c>
      <c r="N213" s="3" t="str">
        <f>Sheet1!B213</f>
        <v>stratton-mountain-vermont-forestry-service-cabin-1</v>
      </c>
      <c r="O213" s="39" t="s">
        <v>702</v>
      </c>
    </row>
    <row r="214">
      <c r="A214" s="1" t="s">
        <v>695</v>
      </c>
      <c r="B214" s="3" t="str">
        <f>Sheet1!C214</f>
        <v>Stratton Mountain Vermont Forestry Service Cabin 2nd</v>
      </c>
      <c r="C214" s="39" t="s">
        <v>696</v>
      </c>
      <c r="D214" s="3">
        <f>Sheet1!D214</f>
        <v>1928</v>
      </c>
      <c r="E214" s="1" t="s">
        <v>697</v>
      </c>
      <c r="F214" s="3" t="str">
        <f>Sheet1!E214</f>
        <v/>
      </c>
      <c r="G214" s="1" t="s">
        <v>698</v>
      </c>
      <c r="H214" s="3">
        <f>IF(Sheet1!K214, 1, 0)
</f>
        <v>1</v>
      </c>
      <c r="I214" s="39" t="s">
        <v>699</v>
      </c>
      <c r="J214" s="3" t="str">
        <f>Sheet1!J214</f>
        <v>Wood frame Camp</v>
      </c>
      <c r="K214" s="39" t="s">
        <v>700</v>
      </c>
      <c r="L214" s="3" t="str">
        <f>Sheet1!L214</f>
        <v/>
      </c>
      <c r="M214" s="39" t="s">
        <v>701</v>
      </c>
      <c r="N214" s="3" t="str">
        <f>Sheet1!B214</f>
        <v>stratton-mountain-vermont-forestry-service-cabin-2</v>
      </c>
      <c r="O214" s="39" t="s">
        <v>702</v>
      </c>
    </row>
    <row r="215">
      <c r="A215" s="1" t="s">
        <v>695</v>
      </c>
      <c r="B215" s="3" t="str">
        <f>Sheet1!C215</f>
        <v>Stratton Mountain Vermont Forestry Service Cabin 3rd</v>
      </c>
      <c r="C215" s="39" t="s">
        <v>696</v>
      </c>
      <c r="D215" s="3">
        <f>Sheet1!D215</f>
        <v>1970</v>
      </c>
      <c r="E215" s="1" t="s">
        <v>697</v>
      </c>
      <c r="F215" s="3">
        <f>Sheet1!E215</f>
        <v>1995</v>
      </c>
      <c r="G215" s="1" t="s">
        <v>698</v>
      </c>
      <c r="H215" s="3">
        <f>IF(Sheet1!K215, 1, 0)
</f>
        <v>1</v>
      </c>
      <c r="I215" s="39" t="s">
        <v>699</v>
      </c>
      <c r="J215" s="3" t="str">
        <f>Sheet1!J215</f>
        <v>Wood frame Camp</v>
      </c>
      <c r="K215" s="39" t="s">
        <v>700</v>
      </c>
      <c r="L215" s="3" t="str">
        <f>Sheet1!L215</f>
        <v/>
      </c>
      <c r="M215" s="39" t="s">
        <v>701</v>
      </c>
      <c r="N215" s="3" t="str">
        <f>Sheet1!B215</f>
        <v>stratton-mountain-vermont-forestry-service-cabin-3</v>
      </c>
      <c r="O215" s="39" t="s">
        <v>702</v>
      </c>
    </row>
    <row r="216">
      <c r="A216" s="1" t="s">
        <v>695</v>
      </c>
      <c r="B216" s="3" t="str">
        <f>Sheet1!C216</f>
        <v>Stratton Pond Shelter</v>
      </c>
      <c r="C216" s="39" t="s">
        <v>696</v>
      </c>
      <c r="D216" s="3">
        <f>Sheet1!D216</f>
        <v>1999</v>
      </c>
      <c r="E216" s="1" t="s">
        <v>697</v>
      </c>
      <c r="F216" s="3" t="str">
        <f>Sheet1!E216</f>
        <v/>
      </c>
      <c r="G216" s="1" t="s">
        <v>698</v>
      </c>
      <c r="H216" s="3">
        <f>IF(Sheet1!K216, 1, 0)
</f>
        <v>1</v>
      </c>
      <c r="I216" s="39" t="s">
        <v>699</v>
      </c>
      <c r="J216" s="3" t="str">
        <f>Sheet1!J216</f>
        <v>Post and Beam</v>
      </c>
      <c r="K216" s="39" t="s">
        <v>700</v>
      </c>
      <c r="L216" s="3" t="str">
        <f>Sheet1!L216</f>
        <v/>
      </c>
      <c r="M216" s="39" t="s">
        <v>701</v>
      </c>
      <c r="N216" s="3" t="str">
        <f>Sheet1!B216</f>
        <v>stratton-pond-shelter</v>
      </c>
      <c r="O216" s="39" t="s">
        <v>702</v>
      </c>
    </row>
    <row r="217">
      <c r="A217" s="1" t="s">
        <v>695</v>
      </c>
      <c r="B217" s="3" t="str">
        <f>Sheet1!C217</f>
        <v>Stratton View Campsite</v>
      </c>
      <c r="C217" s="39" t="s">
        <v>696</v>
      </c>
      <c r="D217" s="3">
        <f>Sheet1!D217</f>
        <v>1985</v>
      </c>
      <c r="E217" s="1" t="s">
        <v>697</v>
      </c>
      <c r="F217" s="3">
        <f>Sheet1!E217</f>
        <v>2023</v>
      </c>
      <c r="G217" s="1" t="s">
        <v>698</v>
      </c>
      <c r="H217" s="3">
        <f>IF(Sheet1!K217, 1, 0)
</f>
        <v>1</v>
      </c>
      <c r="I217" s="39" t="s">
        <v>699</v>
      </c>
      <c r="J217" s="3" t="str">
        <f>Sheet1!J217</f>
        <v/>
      </c>
      <c r="K217" s="39" t="s">
        <v>700</v>
      </c>
      <c r="L217" s="3" t="str">
        <f>Sheet1!L217</f>
        <v/>
      </c>
      <c r="M217" s="39" t="s">
        <v>701</v>
      </c>
      <c r="N217" s="3" t="str">
        <f>Sheet1!B217</f>
        <v>stratton-view-campsite</v>
      </c>
      <c r="O217" s="39" t="s">
        <v>702</v>
      </c>
    </row>
    <row r="218">
      <c r="A218" s="1" t="s">
        <v>695</v>
      </c>
      <c r="B218" s="3" t="str">
        <f>Sheet1!C218</f>
        <v>Stratton View Shelter 1st</v>
      </c>
      <c r="C218" s="39" t="s">
        <v>696</v>
      </c>
      <c r="D218" s="3">
        <f>Sheet1!D218</f>
        <v>1937</v>
      </c>
      <c r="E218" s="1" t="s">
        <v>697</v>
      </c>
      <c r="F218" s="3">
        <f>Sheet1!E218</f>
        <v>1985</v>
      </c>
      <c r="G218" s="1" t="s">
        <v>698</v>
      </c>
      <c r="H218" s="3">
        <f>IF(Sheet1!K218, 1, 0)
</f>
        <v>1</v>
      </c>
      <c r="I218" s="39" t="s">
        <v>699</v>
      </c>
      <c r="J218" s="3" t="str">
        <f>Sheet1!J218</f>
        <v>Log lean-to</v>
      </c>
      <c r="K218" s="39" t="s">
        <v>700</v>
      </c>
      <c r="L218" s="3" t="str">
        <f>Sheet1!L218</f>
        <v/>
      </c>
      <c r="M218" s="39" t="s">
        <v>701</v>
      </c>
      <c r="N218" s="3" t="str">
        <f>Sheet1!B218</f>
        <v>stratton-view-shelter-1</v>
      </c>
      <c r="O218" s="39" t="s">
        <v>702</v>
      </c>
    </row>
    <row r="219">
      <c r="A219" s="1" t="s">
        <v>695</v>
      </c>
      <c r="B219" s="3" t="str">
        <f>Sheet1!C219</f>
        <v>Stratton View Shelter 2nd</v>
      </c>
      <c r="C219" s="39" t="s">
        <v>696</v>
      </c>
      <c r="D219" s="3">
        <f>Sheet1!D219</f>
        <v>2023</v>
      </c>
      <c r="E219" s="1" t="s">
        <v>697</v>
      </c>
      <c r="F219" s="3" t="str">
        <f>Sheet1!E219</f>
        <v/>
      </c>
      <c r="G219" s="1" t="s">
        <v>698</v>
      </c>
      <c r="H219" s="3">
        <f>IF(Sheet1!K219, 1, 0)
</f>
        <v>1</v>
      </c>
      <c r="I219" s="39" t="s">
        <v>699</v>
      </c>
      <c r="J219" s="3" t="str">
        <f>Sheet1!J219</f>
        <v>Post and Beam</v>
      </c>
      <c r="K219" s="39" t="s">
        <v>700</v>
      </c>
      <c r="L219" s="3" t="str">
        <f>Sheet1!L219</f>
        <v/>
      </c>
      <c r="M219" s="39" t="s">
        <v>701</v>
      </c>
      <c r="N219" s="3" t="str">
        <f>Sheet1!B219</f>
        <v>stratton-view-shelter-2</v>
      </c>
      <c r="O219" s="39" t="s">
        <v>702</v>
      </c>
    </row>
    <row r="220">
      <c r="A220" s="1" t="s">
        <v>695</v>
      </c>
      <c r="B220" s="3" t="str">
        <f>Sheet1!C220</f>
        <v>Sucker Brook Lodge</v>
      </c>
      <c r="C220" s="39" t="s">
        <v>696</v>
      </c>
      <c r="D220" s="3">
        <f>Sheet1!D220</f>
        <v>1921</v>
      </c>
      <c r="E220" s="1" t="s">
        <v>697</v>
      </c>
      <c r="F220" s="3">
        <f>Sheet1!E220</f>
        <v>1962</v>
      </c>
      <c r="G220" s="1" t="s">
        <v>698</v>
      </c>
      <c r="H220" s="3">
        <f>IF(Sheet1!K220, 1, 0)
</f>
        <v>1</v>
      </c>
      <c r="I220" s="39" t="s">
        <v>699</v>
      </c>
      <c r="J220" s="3" t="str">
        <f>Sheet1!J220</f>
        <v>Log lean-to</v>
      </c>
      <c r="K220" s="39" t="s">
        <v>700</v>
      </c>
      <c r="L220" s="3" t="str">
        <f>Sheet1!L220</f>
        <v/>
      </c>
      <c r="M220" s="39" t="s">
        <v>701</v>
      </c>
      <c r="N220" s="3" t="str">
        <f>Sheet1!B220</f>
        <v>sucker-brook-lodge</v>
      </c>
      <c r="O220" s="39" t="s">
        <v>702</v>
      </c>
    </row>
    <row r="221">
      <c r="A221" s="1" t="s">
        <v>695</v>
      </c>
      <c r="B221" s="3" t="str">
        <f>Sheet1!C221</f>
        <v>Sucker Brook Shelter</v>
      </c>
      <c r="C221" s="39" t="s">
        <v>696</v>
      </c>
      <c r="D221" s="3">
        <f>Sheet1!D221</f>
        <v>1963</v>
      </c>
      <c r="E221" s="1" t="s">
        <v>697</v>
      </c>
      <c r="F221" s="3" t="str">
        <f>Sheet1!E221</f>
        <v/>
      </c>
      <c r="G221" s="1" t="s">
        <v>698</v>
      </c>
      <c r="H221" s="3">
        <f>IF(Sheet1!K221, 1, 0)
</f>
        <v>1</v>
      </c>
      <c r="I221" s="39" t="s">
        <v>699</v>
      </c>
      <c r="J221" s="3" t="str">
        <f>Sheet1!J221</f>
        <v>Wood Frame lean-to</v>
      </c>
      <c r="K221" s="39" t="s">
        <v>700</v>
      </c>
      <c r="L221" s="3" t="str">
        <f>Sheet1!L221</f>
        <v/>
      </c>
      <c r="M221" s="39" t="s">
        <v>701</v>
      </c>
      <c r="N221" s="3" t="str">
        <f>Sheet1!B221</f>
        <v>sucker-brook-shelter</v>
      </c>
      <c r="O221" s="39" t="s">
        <v>702</v>
      </c>
    </row>
    <row r="222">
      <c r="A222" s="1" t="s">
        <v>695</v>
      </c>
      <c r="B222" s="3" t="str">
        <f>Sheet1!C222</f>
        <v>Sunnyside Camp 1st</v>
      </c>
      <c r="C222" s="39" t="s">
        <v>696</v>
      </c>
      <c r="D222" s="3">
        <f>Sheet1!D222</f>
        <v>1955</v>
      </c>
      <c r="E222" s="1" t="s">
        <v>697</v>
      </c>
      <c r="F222" s="3">
        <f>Sheet1!E222</f>
        <v>1968</v>
      </c>
      <c r="G222" s="1" t="s">
        <v>698</v>
      </c>
      <c r="H222" s="3">
        <f>IF(Sheet1!K222, 1, 0)
</f>
        <v>1</v>
      </c>
      <c r="I222" s="39" t="s">
        <v>699</v>
      </c>
      <c r="J222" s="3" t="str">
        <f>Sheet1!J222</f>
        <v>See Spring Lake Camp, was that shelter but moved to this location</v>
      </c>
      <c r="K222" s="39" t="s">
        <v>700</v>
      </c>
      <c r="L222" s="3" t="str">
        <f>Sheet1!L222</f>
        <v/>
      </c>
      <c r="M222" s="39" t="s">
        <v>701</v>
      </c>
      <c r="N222" s="3" t="str">
        <f>Sheet1!B222</f>
        <v>sunnyside-camp-1</v>
      </c>
      <c r="O222" s="39" t="s">
        <v>702</v>
      </c>
    </row>
    <row r="223">
      <c r="A223" s="1" t="s">
        <v>695</v>
      </c>
      <c r="B223" s="3" t="str">
        <f>Sheet1!C223</f>
        <v>Sunnyside Camp 2nd</v>
      </c>
      <c r="C223" s="39" t="s">
        <v>696</v>
      </c>
      <c r="D223" s="3">
        <f>Sheet1!D223</f>
        <v>1969</v>
      </c>
      <c r="E223" s="1" t="s">
        <v>697</v>
      </c>
      <c r="F223" s="3">
        <f>Sheet1!E223</f>
        <v>1979</v>
      </c>
      <c r="G223" s="1" t="s">
        <v>698</v>
      </c>
      <c r="H223" s="3">
        <f>IF(Sheet1!K223, 1, 0)
</f>
        <v>1</v>
      </c>
      <c r="I223" s="39" t="s">
        <v>699</v>
      </c>
      <c r="J223" s="3" t="str">
        <f>Sheet1!J223</f>
        <v/>
      </c>
      <c r="K223" s="39" t="s">
        <v>700</v>
      </c>
      <c r="L223" s="3" t="str">
        <f>Sheet1!L223</f>
        <v/>
      </c>
      <c r="M223" s="39" t="s">
        <v>701</v>
      </c>
      <c r="N223" s="3" t="str">
        <f>Sheet1!B223</f>
        <v>sunnyside-camp-2</v>
      </c>
      <c r="O223" s="39" t="s">
        <v>702</v>
      </c>
    </row>
    <row r="224">
      <c r="A224" s="1" t="s">
        <v>695</v>
      </c>
      <c r="B224" s="3" t="str">
        <f>Sheet1!C224</f>
        <v>Sunrise Camp</v>
      </c>
      <c r="C224" s="39" t="s">
        <v>696</v>
      </c>
      <c r="D224" s="3">
        <f>Sheet1!D224</f>
        <v>1925</v>
      </c>
      <c r="E224" s="1" t="s">
        <v>697</v>
      </c>
      <c r="F224" s="3">
        <f>Sheet1!E224</f>
        <v>1951</v>
      </c>
      <c r="G224" s="1" t="s">
        <v>698</v>
      </c>
      <c r="H224" s="3">
        <f>IF(Sheet1!K224, 1, 0)
</f>
        <v>1</v>
      </c>
      <c r="I224" s="39" t="s">
        <v>699</v>
      </c>
      <c r="J224" s="3" t="str">
        <f>Sheet1!J224</f>
        <v/>
      </c>
      <c r="K224" s="39" t="s">
        <v>700</v>
      </c>
      <c r="L224" s="3" t="str">
        <f>Sheet1!L224</f>
        <v>See Goshen Lodge</v>
      </c>
      <c r="M224" s="39" t="s">
        <v>701</v>
      </c>
      <c r="N224" s="3" t="str">
        <f>Sheet1!B224</f>
        <v>sunrise-camp</v>
      </c>
      <c r="O224" s="39" t="s">
        <v>702</v>
      </c>
    </row>
    <row r="225">
      <c r="A225" s="1" t="s">
        <v>695</v>
      </c>
      <c r="B225" s="3" t="str">
        <f>Sheet1!C225</f>
        <v>Sunrise Shelter 1st</v>
      </c>
      <c r="C225" s="39" t="s">
        <v>696</v>
      </c>
      <c r="D225" s="3">
        <f>Sheet1!D225</f>
        <v>1925</v>
      </c>
      <c r="E225" s="1" t="s">
        <v>697</v>
      </c>
      <c r="F225" s="3">
        <f>Sheet1!E225</f>
        <v>1971</v>
      </c>
      <c r="G225" s="1" t="s">
        <v>698</v>
      </c>
      <c r="H225" s="3">
        <f>IF(Sheet1!K225, 1, 0)
</f>
        <v>1</v>
      </c>
      <c r="I225" s="39" t="s">
        <v>699</v>
      </c>
      <c r="J225" s="3" t="str">
        <f>Sheet1!J225</f>
        <v>Log lean-to</v>
      </c>
      <c r="K225" s="39" t="s">
        <v>700</v>
      </c>
      <c r="L225" s="3" t="str">
        <f>Sheet1!L225</f>
        <v>Also called Sunrise Camps or Goshen Lodge, received a steel roof and abutting steel shelter in 1925</v>
      </c>
      <c r="M225" s="39" t="s">
        <v>701</v>
      </c>
      <c r="N225" s="3" t="str">
        <f>Sheet1!B225</f>
        <v>sunrise-shelter-1</v>
      </c>
      <c r="O225" s="39" t="s">
        <v>702</v>
      </c>
    </row>
    <row r="226">
      <c r="A226" s="1" t="s">
        <v>695</v>
      </c>
      <c r="B226" s="3" t="str">
        <f>Sheet1!C226</f>
        <v>Sunrise Shelter 2nd</v>
      </c>
      <c r="C226" s="39" t="s">
        <v>696</v>
      </c>
      <c r="D226" s="3">
        <f>Sheet1!D226</f>
        <v>1964</v>
      </c>
      <c r="E226" s="1" t="s">
        <v>697</v>
      </c>
      <c r="F226" s="3">
        <f>Sheet1!E226</f>
        <v>2023</v>
      </c>
      <c r="G226" s="1" t="s">
        <v>698</v>
      </c>
      <c r="H226" s="3">
        <f>IF(Sheet1!K226, 1, 0)
</f>
        <v>1</v>
      </c>
      <c r="I226" s="39" t="s">
        <v>699</v>
      </c>
      <c r="J226" s="3" t="str">
        <f>Sheet1!J226</f>
        <v>Frame lean-to</v>
      </c>
      <c r="K226" s="39" t="s">
        <v>700</v>
      </c>
      <c r="L226" s="3" t="str">
        <f>Sheet1!L226</f>
        <v/>
      </c>
      <c r="M226" s="39" t="s">
        <v>701</v>
      </c>
      <c r="N226" s="3" t="str">
        <f>Sheet1!B226</f>
        <v>sunrise-shelter-2</v>
      </c>
      <c r="O226" s="39" t="s">
        <v>702</v>
      </c>
    </row>
    <row r="227">
      <c r="A227" s="1" t="s">
        <v>695</v>
      </c>
      <c r="B227" s="3" t="str">
        <f>Sheet1!C227</f>
        <v>Sunrise Shelter 3rd</v>
      </c>
      <c r="C227" s="39" t="s">
        <v>696</v>
      </c>
      <c r="D227" s="3">
        <f>Sheet1!D227</f>
        <v>2023</v>
      </c>
      <c r="E227" s="1" t="s">
        <v>697</v>
      </c>
      <c r="F227" s="3" t="str">
        <f>Sheet1!E227</f>
        <v/>
      </c>
      <c r="G227" s="1" t="s">
        <v>698</v>
      </c>
      <c r="H227" s="3">
        <f>IF(Sheet1!K227, 1, 0)
</f>
        <v>1</v>
      </c>
      <c r="I227" s="39" t="s">
        <v>699</v>
      </c>
      <c r="J227" s="3" t="str">
        <f>Sheet1!J227</f>
        <v>Post and Beam</v>
      </c>
      <c r="K227" s="39" t="s">
        <v>700</v>
      </c>
      <c r="L227" s="3" t="str">
        <f>Sheet1!L227</f>
        <v/>
      </c>
      <c r="M227" s="39" t="s">
        <v>701</v>
      </c>
      <c r="N227" s="3" t="str">
        <f>Sheet1!B227</f>
        <v>sunrise-shelter-3</v>
      </c>
      <c r="O227" s="39" t="s">
        <v>702</v>
      </c>
    </row>
    <row r="228">
      <c r="A228" s="1" t="s">
        <v>695</v>
      </c>
      <c r="B228" s="3" t="str">
        <f>Sheet1!C228</f>
        <v>Swansong Shelter</v>
      </c>
      <c r="C228" s="39" t="s">
        <v>696</v>
      </c>
      <c r="D228" s="3">
        <f>Sheet1!D228</f>
        <v>2007</v>
      </c>
      <c r="E228" s="1" t="s">
        <v>697</v>
      </c>
      <c r="F228" s="3" t="str">
        <f>Sheet1!E228</f>
        <v/>
      </c>
      <c r="G228" s="1" t="s">
        <v>698</v>
      </c>
      <c r="H228" s="3">
        <f>IF(Sheet1!K228, 1, 0)
</f>
        <v>0</v>
      </c>
      <c r="I228" s="39" t="s">
        <v>699</v>
      </c>
      <c r="J228" s="3" t="str">
        <f>Sheet1!J228</f>
        <v>Post and Beam</v>
      </c>
      <c r="K228" s="39" t="s">
        <v>700</v>
      </c>
      <c r="L228" s="3" t="str">
        <f>Sheet1!L228</f>
        <v/>
      </c>
      <c r="M228" s="39" t="s">
        <v>701</v>
      </c>
      <c r="N228" s="3" t="str">
        <f>Sheet1!B228</f>
        <v>swansong-shelter</v>
      </c>
      <c r="O228" s="39" t="s">
        <v>702</v>
      </c>
    </row>
    <row r="229">
      <c r="A229" s="1" t="s">
        <v>695</v>
      </c>
      <c r="B229" s="3" t="str">
        <f>Sheet1!C229</f>
        <v>Swezey Camp 1st</v>
      </c>
      <c r="C229" s="39" t="s">
        <v>696</v>
      </c>
      <c r="D229" s="3">
        <f>Sheet1!D229</f>
        <v>1923</v>
      </c>
      <c r="E229" s="1" t="s">
        <v>697</v>
      </c>
      <c r="F229" s="3">
        <f>Sheet1!E229</f>
        <v>1932</v>
      </c>
      <c r="G229" s="1" t="s">
        <v>698</v>
      </c>
      <c r="H229" s="3">
        <f>IF(Sheet1!K229, 1, 0)
</f>
        <v>1</v>
      </c>
      <c r="I229" s="39" t="s">
        <v>699</v>
      </c>
      <c r="J229" s="3" t="str">
        <f>Sheet1!J229</f>
        <v>Lumber Camp</v>
      </c>
      <c r="K229" s="39" t="s">
        <v>700</v>
      </c>
      <c r="L229" s="3" t="str">
        <f>Sheet1!L229</f>
        <v/>
      </c>
      <c r="M229" s="39" t="s">
        <v>701</v>
      </c>
      <c r="N229" s="3" t="str">
        <f>Sheet1!B229</f>
        <v>swezey-camp-1</v>
      </c>
      <c r="O229" s="39" t="s">
        <v>702</v>
      </c>
    </row>
    <row r="230">
      <c r="A230" s="1" t="s">
        <v>695</v>
      </c>
      <c r="B230" s="3" t="str">
        <f>Sheet1!C230</f>
        <v>Swezey Camp 2nd</v>
      </c>
      <c r="C230" s="39" t="s">
        <v>696</v>
      </c>
      <c r="D230" s="3">
        <f>Sheet1!D230</f>
        <v>1935</v>
      </c>
      <c r="E230" s="1" t="s">
        <v>697</v>
      </c>
      <c r="F230" s="3">
        <f>Sheet1!E230</f>
        <v>1977</v>
      </c>
      <c r="G230" s="1" t="s">
        <v>698</v>
      </c>
      <c r="H230" s="3">
        <f>IF(Sheet1!K230, 1, 0)
</f>
        <v>1</v>
      </c>
      <c r="I230" s="39" t="s">
        <v>699</v>
      </c>
      <c r="J230" s="3" t="str">
        <f>Sheet1!J230</f>
        <v>Buchanan/LTP</v>
      </c>
      <c r="K230" s="39" t="s">
        <v>700</v>
      </c>
      <c r="L230" s="3" t="str">
        <f>Sheet1!L230</f>
        <v/>
      </c>
      <c r="M230" s="39" t="s">
        <v>701</v>
      </c>
      <c r="N230" s="3" t="str">
        <f>Sheet1!B230</f>
        <v>swezey-camp-2</v>
      </c>
      <c r="O230" s="39" t="s">
        <v>702</v>
      </c>
    </row>
    <row r="231">
      <c r="A231" s="1" t="s">
        <v>695</v>
      </c>
      <c r="B231" s="3" t="str">
        <f>Sheet1!C231</f>
        <v>Swezey Shelter</v>
      </c>
      <c r="C231" s="39" t="s">
        <v>696</v>
      </c>
      <c r="D231" s="3">
        <f>Sheet1!D231</f>
        <v>1956</v>
      </c>
      <c r="E231" s="1" t="s">
        <v>697</v>
      </c>
      <c r="F231" s="3">
        <f>Sheet1!E231</f>
        <v>1973</v>
      </c>
      <c r="G231" s="1" t="s">
        <v>698</v>
      </c>
      <c r="H231" s="3">
        <f>IF(Sheet1!K231, 1, 0)
</f>
        <v>1</v>
      </c>
      <c r="I231" s="39" t="s">
        <v>699</v>
      </c>
      <c r="J231" s="3" t="str">
        <f>Sheet1!J231</f>
        <v>Log lean-to</v>
      </c>
      <c r="K231" s="39" t="s">
        <v>700</v>
      </c>
      <c r="L231" s="3" t="str">
        <f>Sheet1!L231</f>
        <v/>
      </c>
      <c r="M231" s="39" t="s">
        <v>701</v>
      </c>
      <c r="N231" s="3" t="str">
        <f>Sheet1!B231</f>
        <v>swezey-shelter</v>
      </c>
      <c r="O231" s="39" t="s">
        <v>702</v>
      </c>
    </row>
    <row r="232">
      <c r="A232" s="1" t="s">
        <v>695</v>
      </c>
      <c r="B232" s="3" t="str">
        <f>Sheet1!C232</f>
        <v>Taft Lodge</v>
      </c>
      <c r="C232" s="39" t="s">
        <v>696</v>
      </c>
      <c r="D232" s="3">
        <f>Sheet1!D232</f>
        <v>1920</v>
      </c>
      <c r="E232" s="1" t="s">
        <v>697</v>
      </c>
      <c r="F232" s="3" t="str">
        <f>Sheet1!E232</f>
        <v/>
      </c>
      <c r="G232" s="1" t="s">
        <v>698</v>
      </c>
      <c r="H232" s="3">
        <f>IF(Sheet1!K232, 1, 0)
</f>
        <v>1</v>
      </c>
      <c r="I232" s="39" t="s">
        <v>699</v>
      </c>
      <c r="J232" s="3" t="str">
        <f>Sheet1!J232</f>
        <v>Adirondak</v>
      </c>
      <c r="K232" s="39" t="s">
        <v>700</v>
      </c>
      <c r="L232" s="3" t="str">
        <f>Sheet1!L232</f>
        <v/>
      </c>
      <c r="M232" s="39" t="s">
        <v>701</v>
      </c>
      <c r="N232" s="3" t="str">
        <f>Sheet1!B232</f>
        <v>taft-lodge</v>
      </c>
      <c r="O232" s="39" t="s">
        <v>702</v>
      </c>
    </row>
    <row r="233">
      <c r="A233" s="1" t="s">
        <v>695</v>
      </c>
      <c r="B233" s="3" t="str">
        <f>Sheet1!C233</f>
        <v>Tamarak Shelter</v>
      </c>
      <c r="C233" s="39" t="s">
        <v>696</v>
      </c>
      <c r="D233" s="3">
        <f>Sheet1!D233</f>
        <v>1969</v>
      </c>
      <c r="E233" s="1" t="s">
        <v>697</v>
      </c>
      <c r="F233" s="3">
        <f>Sheet1!E233</f>
        <v>1984</v>
      </c>
      <c r="G233" s="1" t="s">
        <v>698</v>
      </c>
      <c r="H233" s="3">
        <f>IF(Sheet1!K233, 1, 0)
</f>
        <v>1</v>
      </c>
      <c r="I233" s="39" t="s">
        <v>699</v>
      </c>
      <c r="J233" s="3" t="str">
        <f>Sheet1!J233</f>
        <v/>
      </c>
      <c r="K233" s="39" t="s">
        <v>700</v>
      </c>
      <c r="L233" s="3" t="str">
        <f>Sheet1!L233</f>
        <v>Called Tamarack in LTG</v>
      </c>
      <c r="M233" s="39" t="s">
        <v>701</v>
      </c>
      <c r="N233" s="3" t="str">
        <f>Sheet1!B233</f>
        <v>tamarak-shelter</v>
      </c>
      <c r="O233" s="39" t="s">
        <v>702</v>
      </c>
    </row>
    <row r="234">
      <c r="A234" s="1" t="s">
        <v>695</v>
      </c>
      <c r="B234" s="3" t="str">
        <f>Sheet1!C234</f>
        <v>Taylor Lodge 1st</v>
      </c>
      <c r="C234" s="39" t="s">
        <v>696</v>
      </c>
      <c r="D234" s="3">
        <f>Sheet1!D234</f>
        <v>1926</v>
      </c>
      <c r="E234" s="1" t="s">
        <v>697</v>
      </c>
      <c r="F234" s="3">
        <f>Sheet1!E234</f>
        <v>1951</v>
      </c>
      <c r="G234" s="1" t="s">
        <v>698</v>
      </c>
      <c r="H234" s="3">
        <f>IF(Sheet1!K234, 1, 0)
</f>
        <v>1</v>
      </c>
      <c r="I234" s="39" t="s">
        <v>699</v>
      </c>
      <c r="J234" s="3" t="str">
        <f>Sheet1!J234</f>
        <v>Log Cabin</v>
      </c>
      <c r="K234" s="39" t="s">
        <v>700</v>
      </c>
      <c r="L234" s="3" t="str">
        <f>Sheet1!L234</f>
        <v/>
      </c>
      <c r="M234" s="39" t="s">
        <v>701</v>
      </c>
      <c r="N234" s="3" t="str">
        <f>Sheet1!B234</f>
        <v>taylor-lodge-1</v>
      </c>
      <c r="O234" s="39" t="s">
        <v>702</v>
      </c>
    </row>
    <row r="235">
      <c r="A235" s="1" t="s">
        <v>695</v>
      </c>
      <c r="B235" s="3" t="str">
        <f>Sheet1!C235</f>
        <v>Taylor Lodge 2nd</v>
      </c>
      <c r="C235" s="39" t="s">
        <v>696</v>
      </c>
      <c r="D235" s="3">
        <f>Sheet1!D235</f>
        <v>1952</v>
      </c>
      <c r="E235" s="1" t="s">
        <v>697</v>
      </c>
      <c r="F235" s="3">
        <f>Sheet1!E235</f>
        <v>1977</v>
      </c>
      <c r="G235" s="1" t="s">
        <v>698</v>
      </c>
      <c r="H235" s="3">
        <f>IF(Sheet1!K235, 1, 0)
</f>
        <v>1</v>
      </c>
      <c r="I235" s="39" t="s">
        <v>699</v>
      </c>
      <c r="J235" s="3" t="str">
        <f>Sheet1!J235</f>
        <v>Log Cabin</v>
      </c>
      <c r="K235" s="39" t="s">
        <v>700</v>
      </c>
      <c r="L235" s="3" t="str">
        <f>Sheet1!L235</f>
        <v/>
      </c>
      <c r="M235" s="39" t="s">
        <v>701</v>
      </c>
      <c r="N235" s="3" t="str">
        <f>Sheet1!B235</f>
        <v>taylor-lodge-2</v>
      </c>
      <c r="O235" s="39" t="s">
        <v>702</v>
      </c>
    </row>
    <row r="236">
      <c r="A236" s="1" t="s">
        <v>695</v>
      </c>
      <c r="B236" s="3" t="str">
        <f>Sheet1!C236</f>
        <v>Taylor Lodge 3rd</v>
      </c>
      <c r="C236" s="39" t="s">
        <v>696</v>
      </c>
      <c r="D236" s="3">
        <f>Sheet1!D236</f>
        <v>1978</v>
      </c>
      <c r="E236" s="1" t="s">
        <v>697</v>
      </c>
      <c r="F236" s="3" t="str">
        <f>Sheet1!E236</f>
        <v/>
      </c>
      <c r="G236" s="1" t="s">
        <v>698</v>
      </c>
      <c r="H236" s="3">
        <f>IF(Sheet1!K236, 1, 0)
</f>
        <v>1</v>
      </c>
      <c r="I236" s="39" t="s">
        <v>699</v>
      </c>
      <c r="J236" s="3" t="str">
        <f>Sheet1!J236</f>
        <v>Wood frame cabin</v>
      </c>
      <c r="K236" s="39" t="s">
        <v>700</v>
      </c>
      <c r="L236" s="3" t="str">
        <f>Sheet1!L236</f>
        <v/>
      </c>
      <c r="M236" s="39" t="s">
        <v>701</v>
      </c>
      <c r="N236" s="3" t="str">
        <f>Sheet1!B236</f>
        <v>taylor-lodge-3</v>
      </c>
      <c r="O236" s="39" t="s">
        <v>702</v>
      </c>
    </row>
    <row r="237">
      <c r="A237" s="1" t="s">
        <v>695</v>
      </c>
      <c r="B237" s="3" t="str">
        <f>Sheet1!C237</f>
        <v>Thendara Camp</v>
      </c>
      <c r="C237" s="39" t="s">
        <v>696</v>
      </c>
      <c r="D237" s="3">
        <f>Sheet1!D237</f>
        <v>1922</v>
      </c>
      <c r="E237" s="1" t="s">
        <v>697</v>
      </c>
      <c r="F237" s="3">
        <f>Sheet1!E237</f>
        <v>1958</v>
      </c>
      <c r="G237" s="1" t="s">
        <v>698</v>
      </c>
      <c r="H237" s="3">
        <f>IF(Sheet1!K237, 1, 0)
</f>
        <v>1</v>
      </c>
      <c r="I237" s="39" t="s">
        <v>699</v>
      </c>
      <c r="J237" s="3" t="str">
        <f>Sheet1!J237</f>
        <v/>
      </c>
      <c r="K237" s="39" t="s">
        <v>700</v>
      </c>
      <c r="L237" s="3" t="str">
        <f>Sheet1!L237</f>
        <v/>
      </c>
      <c r="M237" s="39" t="s">
        <v>701</v>
      </c>
      <c r="N237" s="3" t="str">
        <f>Sheet1!B237</f>
        <v>thendara-camp</v>
      </c>
      <c r="O237" s="39" t="s">
        <v>702</v>
      </c>
    </row>
    <row r="238">
      <c r="A238" s="1" t="s">
        <v>695</v>
      </c>
      <c r="B238" s="3" t="str">
        <f>Sheet1!C238</f>
        <v>Thendara Lodge</v>
      </c>
      <c r="C238" s="39" t="s">
        <v>696</v>
      </c>
      <c r="D238" s="3">
        <f>Sheet1!D238</f>
        <v>1929</v>
      </c>
      <c r="E238" s="1" t="s">
        <v>697</v>
      </c>
      <c r="F238" s="3" t="str">
        <f>Sheet1!E238</f>
        <v/>
      </c>
      <c r="G238" s="1" t="s">
        <v>698</v>
      </c>
      <c r="H238" s="3">
        <f>IF(Sheet1!K238, 1, 0)
</f>
        <v>1</v>
      </c>
      <c r="I238" s="39" t="s">
        <v>699</v>
      </c>
      <c r="J238" s="3" t="str">
        <f>Sheet1!J238</f>
        <v/>
      </c>
      <c r="K238" s="39" t="s">
        <v>700</v>
      </c>
      <c r="L238" s="3" t="str">
        <f>Sheet1!L238</f>
        <v>In Harriman State Park, NY</v>
      </c>
      <c r="M238" s="39" t="s">
        <v>701</v>
      </c>
      <c r="N238" s="3" t="str">
        <f>Sheet1!B238</f>
        <v>thendara-lodge</v>
      </c>
      <c r="O238" s="39" t="s">
        <v>702</v>
      </c>
    </row>
    <row r="239">
      <c r="A239" s="1" t="s">
        <v>695</v>
      </c>
      <c r="B239" s="3" t="str">
        <f>Sheet1!C239</f>
        <v>Theron Dean Lodge</v>
      </c>
      <c r="C239" s="39" t="s">
        <v>696</v>
      </c>
      <c r="D239" s="3">
        <f>Sheet1!D239</f>
        <v>1924</v>
      </c>
      <c r="E239" s="1" t="s">
        <v>697</v>
      </c>
      <c r="F239" s="3">
        <f>Sheet1!E239</f>
        <v>1963</v>
      </c>
      <c r="G239" s="1" t="s">
        <v>698</v>
      </c>
      <c r="H239" s="3">
        <f>IF(Sheet1!K239, 1, 0)
</f>
        <v>1</v>
      </c>
      <c r="I239" s="39" t="s">
        <v>699</v>
      </c>
      <c r="J239" s="3" t="str">
        <f>Sheet1!J239</f>
        <v>Log Cabin</v>
      </c>
      <c r="K239" s="39" t="s">
        <v>700</v>
      </c>
      <c r="L239" s="3" t="str">
        <f>Sheet1!L239</f>
        <v/>
      </c>
      <c r="M239" s="39" t="s">
        <v>701</v>
      </c>
      <c r="N239" s="3" t="str">
        <f>Sheet1!B239</f>
        <v>theron-dean-lodge</v>
      </c>
      <c r="O239" s="39" t="s">
        <v>702</v>
      </c>
    </row>
    <row r="240">
      <c r="A240" s="1" t="s">
        <v>695</v>
      </c>
      <c r="B240" s="3" t="str">
        <f>Sheet1!C240</f>
        <v>Theron Dean Shelter</v>
      </c>
      <c r="C240" s="39" t="s">
        <v>696</v>
      </c>
      <c r="D240" s="3">
        <f>Sheet1!D240</f>
        <v>1966</v>
      </c>
      <c r="E240" s="1" t="s">
        <v>697</v>
      </c>
      <c r="F240" s="3" t="str">
        <f>Sheet1!E240</f>
        <v/>
      </c>
      <c r="G240" s="1" t="s">
        <v>698</v>
      </c>
      <c r="H240" s="3">
        <f>IF(Sheet1!K240, 1, 0)
</f>
        <v>1</v>
      </c>
      <c r="I240" s="39" t="s">
        <v>699</v>
      </c>
      <c r="J240" s="3" t="str">
        <f>Sheet1!J240</f>
        <v>Log lean-to</v>
      </c>
      <c r="K240" s="39" t="s">
        <v>700</v>
      </c>
      <c r="L240" s="3" t="str">
        <f>Sheet1!L240</f>
        <v/>
      </c>
      <c r="M240" s="39" t="s">
        <v>701</v>
      </c>
      <c r="N240" s="3" t="str">
        <f>Sheet1!B240</f>
        <v>theron-dean-shelter</v>
      </c>
      <c r="O240" s="39" t="s">
        <v>702</v>
      </c>
    </row>
    <row r="241">
      <c r="A241" s="1" t="s">
        <v>695</v>
      </c>
      <c r="B241" s="3" t="str">
        <f>Sheet1!C241</f>
        <v>Thistle Hill Shelter</v>
      </c>
      <c r="C241" s="39" t="s">
        <v>696</v>
      </c>
      <c r="D241" s="3">
        <f>Sheet1!D241</f>
        <v>1995</v>
      </c>
      <c r="E241" s="1" t="s">
        <v>697</v>
      </c>
      <c r="F241" s="3" t="str">
        <f>Sheet1!E241</f>
        <v/>
      </c>
      <c r="G241" s="1" t="s">
        <v>698</v>
      </c>
      <c r="H241" s="3">
        <f>IF(Sheet1!K241, 1, 0)
</f>
        <v>1</v>
      </c>
      <c r="I241" s="39" t="s">
        <v>699</v>
      </c>
      <c r="J241" s="3" t="str">
        <f>Sheet1!J241</f>
        <v>Log lean-to</v>
      </c>
      <c r="K241" s="39" t="s">
        <v>700</v>
      </c>
      <c r="L241" s="3" t="str">
        <f>Sheet1!L241</f>
        <v/>
      </c>
      <c r="M241" s="39" t="s">
        <v>701</v>
      </c>
      <c r="N241" s="3" t="str">
        <f>Sheet1!B241</f>
        <v>thistle-hill-shelter</v>
      </c>
      <c r="O241" s="39" t="s">
        <v>702</v>
      </c>
    </row>
    <row r="242">
      <c r="A242" s="1" t="s">
        <v>695</v>
      </c>
      <c r="B242" s="3" t="str">
        <f>Sheet1!C242</f>
        <v>Thompson Home</v>
      </c>
      <c r="C242" s="39" t="s">
        <v>696</v>
      </c>
      <c r="D242" s="3" t="str">
        <f>Sheet1!D242</f>
        <v/>
      </c>
      <c r="E242" s="1" t="s">
        <v>697</v>
      </c>
      <c r="F242" s="3">
        <f>Sheet1!E242</f>
        <v>1931</v>
      </c>
      <c r="G242" s="1" t="s">
        <v>698</v>
      </c>
      <c r="H242" s="3">
        <f>IF(Sheet1!K242, 1, 0)
</f>
        <v>0</v>
      </c>
      <c r="I242" s="39" t="s">
        <v>699</v>
      </c>
      <c r="J242" s="3" t="str">
        <f>Sheet1!J242</f>
        <v>Private Home</v>
      </c>
      <c r="K242" s="39" t="s">
        <v>700</v>
      </c>
      <c r="L242" s="3" t="str">
        <f>Sheet1!L242</f>
        <v/>
      </c>
      <c r="M242" s="39" t="s">
        <v>701</v>
      </c>
      <c r="N242" s="3" t="str">
        <f>Sheet1!B242</f>
        <v>thompson-home</v>
      </c>
      <c r="O242" s="39" t="s">
        <v>702</v>
      </c>
    </row>
    <row r="243">
      <c r="A243" s="1" t="s">
        <v>695</v>
      </c>
      <c r="B243" s="3" t="str">
        <f>Sheet1!C243</f>
        <v>Three Shanties</v>
      </c>
      <c r="C243" s="39" t="s">
        <v>696</v>
      </c>
      <c r="D243" s="3">
        <f>Sheet1!D243</f>
        <v>1920</v>
      </c>
      <c r="E243" s="1" t="s">
        <v>697</v>
      </c>
      <c r="F243" s="3">
        <f>Sheet1!E243</f>
        <v>1928</v>
      </c>
      <c r="G243" s="1" t="s">
        <v>698</v>
      </c>
      <c r="H243" s="3">
        <f>IF(Sheet1!K243, 1, 0)
</f>
        <v>0</v>
      </c>
      <c r="I243" s="39" t="s">
        <v>699</v>
      </c>
      <c r="J243" s="3" t="str">
        <f>Sheet1!J243</f>
        <v>Lumber Camp</v>
      </c>
      <c r="K243" s="39" t="s">
        <v>700</v>
      </c>
      <c r="L243" s="3" t="str">
        <f>Sheet1!L243</f>
        <v/>
      </c>
      <c r="M243" s="39" t="s">
        <v>701</v>
      </c>
      <c r="N243" s="3" t="str">
        <f>Sheet1!B243</f>
        <v>three-shanties</v>
      </c>
      <c r="O243" s="39" t="s">
        <v>702</v>
      </c>
    </row>
    <row r="244">
      <c r="A244" s="1" t="s">
        <v>695</v>
      </c>
      <c r="B244" s="3" t="str">
        <f>Sheet1!C244</f>
        <v>Tillotson Camp 1st</v>
      </c>
      <c r="C244" s="39" t="s">
        <v>696</v>
      </c>
      <c r="D244" s="3">
        <f>Sheet1!D244</f>
        <v>1929</v>
      </c>
      <c r="E244" s="1" t="s">
        <v>697</v>
      </c>
      <c r="F244" s="3">
        <f>Sheet1!E244</f>
        <v>1938</v>
      </c>
      <c r="G244" s="1" t="s">
        <v>698</v>
      </c>
      <c r="H244" s="3">
        <f>IF(Sheet1!K244, 1, 0)
</f>
        <v>1</v>
      </c>
      <c r="I244" s="39" t="s">
        <v>699</v>
      </c>
      <c r="J244" s="3" t="str">
        <f>Sheet1!J244</f>
        <v>Wood Frame Shelter</v>
      </c>
      <c r="K244" s="39" t="s">
        <v>700</v>
      </c>
      <c r="L244" s="3" t="str">
        <f>Sheet1!L244</f>
        <v>Article states that this was one of the original shelters: https://www.northstarmonthly.com/columns/belvedere-mountain-and-the-great-white-hill/article_0e7df6a0-cd6b-11ed-86fd-b7fa99870fa8.html</v>
      </c>
      <c r="M244" s="39" t="s">
        <v>701</v>
      </c>
      <c r="N244" s="3" t="str">
        <f>Sheet1!B244</f>
        <v>tillotson-camp-1</v>
      </c>
      <c r="O244" s="39" t="s">
        <v>702</v>
      </c>
    </row>
    <row r="245">
      <c r="A245" s="1" t="s">
        <v>695</v>
      </c>
      <c r="B245" s="3" t="str">
        <f>Sheet1!C245</f>
        <v>Tillotson Camp 2nd</v>
      </c>
      <c r="C245" s="39" t="s">
        <v>696</v>
      </c>
      <c r="D245" s="3">
        <f>Sheet1!D245</f>
        <v>1939</v>
      </c>
      <c r="E245" s="1" t="s">
        <v>697</v>
      </c>
      <c r="F245" s="3" t="str">
        <f>Sheet1!E245</f>
        <v/>
      </c>
      <c r="G245" s="1" t="s">
        <v>698</v>
      </c>
      <c r="H245" s="3">
        <f>IF(Sheet1!K245, 1, 0)
</f>
        <v>1</v>
      </c>
      <c r="I245" s="39" t="s">
        <v>699</v>
      </c>
      <c r="J245" s="3" t="str">
        <f>Sheet1!J245</f>
        <v>Buchanan</v>
      </c>
      <c r="K245" s="39" t="s">
        <v>700</v>
      </c>
      <c r="L245" s="3" t="str">
        <f>Sheet1!L245</f>
        <v/>
      </c>
      <c r="M245" s="39" t="s">
        <v>701</v>
      </c>
      <c r="N245" s="3" t="str">
        <f>Sheet1!B245</f>
        <v>tillotson-camp-2</v>
      </c>
      <c r="O245" s="39" t="s">
        <v>702</v>
      </c>
    </row>
    <row r="246">
      <c r="A246" s="1" t="s">
        <v>695</v>
      </c>
      <c r="B246" s="3" t="str">
        <f>Sheet1!C246</f>
        <v>True Temper Inn</v>
      </c>
      <c r="C246" s="39" t="s">
        <v>696</v>
      </c>
      <c r="D246" s="3">
        <f>Sheet1!D246</f>
        <v>1927</v>
      </c>
      <c r="E246" s="1" t="s">
        <v>697</v>
      </c>
      <c r="F246" s="3">
        <f>Sheet1!E246</f>
        <v>1968</v>
      </c>
      <c r="G246" s="1" t="s">
        <v>698</v>
      </c>
      <c r="H246" s="3">
        <f>IF(Sheet1!K246, 1, 0)
</f>
        <v>0</v>
      </c>
      <c r="I246" s="39" t="s">
        <v>699</v>
      </c>
      <c r="J246" s="3" t="str">
        <f>Sheet1!J246</f>
        <v>Inn</v>
      </c>
      <c r="K246" s="39" t="s">
        <v>700</v>
      </c>
      <c r="L246" s="3" t="str">
        <f>Sheet1!L246</f>
        <v/>
      </c>
      <c r="M246" s="39" t="s">
        <v>701</v>
      </c>
      <c r="N246" s="3" t="str">
        <f>Sheet1!B246</f>
        <v>true-temper-inn</v>
      </c>
      <c r="O246" s="39" t="s">
        <v>702</v>
      </c>
    </row>
    <row r="247">
      <c r="A247" s="1" t="s">
        <v>695</v>
      </c>
      <c r="B247" s="3" t="str">
        <f>Sheet1!C247</f>
        <v>Tucker-Johnson Shelter</v>
      </c>
      <c r="C247" s="39" t="s">
        <v>696</v>
      </c>
      <c r="D247" s="3">
        <f>Sheet1!D247</f>
        <v>1969</v>
      </c>
      <c r="E247" s="1" t="s">
        <v>697</v>
      </c>
      <c r="F247" s="3" t="str">
        <f>Sheet1!E247</f>
        <v/>
      </c>
      <c r="G247" s="1" t="s">
        <v>698</v>
      </c>
      <c r="H247" s="3">
        <f>IF(Sheet1!K247, 1, 0)
</f>
        <v>1</v>
      </c>
      <c r="I247" s="39" t="s">
        <v>699</v>
      </c>
      <c r="J247" s="3" t="str">
        <f>Sheet1!J247</f>
        <v>Wood Frame Shelter</v>
      </c>
      <c r="K247" s="39" t="s">
        <v>700</v>
      </c>
      <c r="L247" s="3" t="str">
        <f>Sheet1!L247</f>
        <v/>
      </c>
      <c r="M247" s="39" t="s">
        <v>701</v>
      </c>
      <c r="N247" s="3" t="str">
        <f>Sheet1!B247</f>
        <v>tucker-johnson-shelter</v>
      </c>
      <c r="O247" s="39" t="s">
        <v>702</v>
      </c>
    </row>
    <row r="248">
      <c r="A248" s="1" t="s">
        <v>695</v>
      </c>
      <c r="B248" s="3" t="str">
        <f>Sheet1!C248</f>
        <v>Tucker Lodge</v>
      </c>
      <c r="C248" s="39" t="s">
        <v>696</v>
      </c>
      <c r="D248" s="3">
        <f>Sheet1!D248</f>
        <v>1938</v>
      </c>
      <c r="E248" s="1" t="s">
        <v>697</v>
      </c>
      <c r="F248" s="3">
        <f>Sheet1!E248</f>
        <v>1971</v>
      </c>
      <c r="G248" s="1" t="s">
        <v>698</v>
      </c>
      <c r="H248" s="3">
        <f>IF(Sheet1!K248, 1, 0)
</f>
        <v>1</v>
      </c>
      <c r="I248" s="39" t="s">
        <v>699</v>
      </c>
      <c r="J248" s="3" t="str">
        <f>Sheet1!J248</f>
        <v>Log Cabin </v>
      </c>
      <c r="K248" s="39" t="s">
        <v>700</v>
      </c>
      <c r="L248" s="3" t="str">
        <f>Sheet1!L248</f>
        <v/>
      </c>
      <c r="M248" s="39" t="s">
        <v>701</v>
      </c>
      <c r="N248" s="3" t="str">
        <f>Sheet1!B248</f>
        <v>tucker-lodge</v>
      </c>
      <c r="O248" s="39" t="s">
        <v>702</v>
      </c>
    </row>
    <row r="249">
      <c r="A249" s="1" t="s">
        <v>695</v>
      </c>
      <c r="B249" s="3" t="str">
        <f>Sheet1!C249</f>
        <v>Twin Brooks Tenting Area</v>
      </c>
      <c r="C249" s="39" t="s">
        <v>696</v>
      </c>
      <c r="D249" s="3">
        <f>Sheet1!D249</f>
        <v>1976</v>
      </c>
      <c r="E249" s="1" t="s">
        <v>697</v>
      </c>
      <c r="F249" s="3" t="str">
        <f>Sheet1!E249</f>
        <v/>
      </c>
      <c r="G249" s="1" t="s">
        <v>698</v>
      </c>
      <c r="H249" s="3">
        <f>IF(Sheet1!K249, 1, 0)
</f>
        <v>1</v>
      </c>
      <c r="I249" s="39" t="s">
        <v>699</v>
      </c>
      <c r="J249" s="3" t="str">
        <f>Sheet1!J249</f>
        <v/>
      </c>
      <c r="K249" s="39" t="s">
        <v>700</v>
      </c>
      <c r="L249" s="3" t="str">
        <f>Sheet1!L249</f>
        <v/>
      </c>
      <c r="M249" s="39" t="s">
        <v>701</v>
      </c>
      <c r="N249" s="3" t="str">
        <f>Sheet1!B249</f>
        <v>twin-brooks-tenting-area</v>
      </c>
      <c r="O249" s="39" t="s">
        <v>702</v>
      </c>
    </row>
    <row r="250">
      <c r="A250" s="1" t="s">
        <v>695</v>
      </c>
      <c r="B250" s="3" t="str">
        <f>Sheet1!C250</f>
        <v>Underhill State Park</v>
      </c>
      <c r="C250" s="39" t="s">
        <v>696</v>
      </c>
      <c r="D250" s="3">
        <f>Sheet1!D250</f>
        <v>1951</v>
      </c>
      <c r="E250" s="1" t="s">
        <v>697</v>
      </c>
      <c r="F250" s="3" t="str">
        <f>Sheet1!E250</f>
        <v/>
      </c>
      <c r="G250" s="1" t="s">
        <v>698</v>
      </c>
      <c r="H250" s="3">
        <f>IF(Sheet1!K250, 1, 0)
</f>
        <v>0</v>
      </c>
      <c r="I250" s="39" t="s">
        <v>699</v>
      </c>
      <c r="J250" s="3" t="str">
        <f>Sheet1!J250</f>
        <v>Wood Frame Shelters</v>
      </c>
      <c r="K250" s="39" t="s">
        <v>700</v>
      </c>
      <c r="L250" s="3" t="str">
        <f>Sheet1!L250</f>
        <v/>
      </c>
      <c r="M250" s="39" t="s">
        <v>701</v>
      </c>
      <c r="N250" s="3" t="str">
        <f>Sheet1!B250</f>
        <v>underhill-state-park</v>
      </c>
      <c r="O250" s="39" t="s">
        <v>702</v>
      </c>
    </row>
    <row r="251">
      <c r="A251" s="1" t="s">
        <v>695</v>
      </c>
      <c r="B251" s="3" t="str">
        <f>Sheet1!C251</f>
        <v>Vondell Shelter</v>
      </c>
      <c r="C251" s="39" t="s">
        <v>696</v>
      </c>
      <c r="D251" s="3">
        <f>Sheet1!D251</f>
        <v>1967</v>
      </c>
      <c r="E251" s="1" t="s">
        <v>697</v>
      </c>
      <c r="F251" s="3">
        <f>Sheet1!E251</f>
        <v>1999</v>
      </c>
      <c r="G251" s="1" t="s">
        <v>698</v>
      </c>
      <c r="H251" s="3">
        <f>IF(Sheet1!K251, 1, 0)
</f>
        <v>1</v>
      </c>
      <c r="I251" s="39" t="s">
        <v>699</v>
      </c>
      <c r="J251" s="3" t="str">
        <f>Sheet1!J251</f>
        <v>Wood Frame Shelter</v>
      </c>
      <c r="K251" s="39" t="s">
        <v>700</v>
      </c>
      <c r="L251" s="3" t="str">
        <f>Sheet1!L251</f>
        <v/>
      </c>
      <c r="M251" s="39" t="s">
        <v>701</v>
      </c>
      <c r="N251" s="3" t="str">
        <f>Sheet1!B251</f>
        <v>vondell-shelter</v>
      </c>
      <c r="O251" s="39" t="s">
        <v>702</v>
      </c>
    </row>
    <row r="252">
      <c r="A252" s="1" t="s">
        <v>695</v>
      </c>
      <c r="B252" s="3" t="str">
        <f>Sheet1!C252</f>
        <v>Voter-White Lodge</v>
      </c>
      <c r="C252" s="39" t="s">
        <v>696</v>
      </c>
      <c r="D252" s="3">
        <f>Sheet1!D252</f>
        <v>1952</v>
      </c>
      <c r="E252" s="1" t="s">
        <v>697</v>
      </c>
      <c r="F252" s="3">
        <f>Sheet1!E252</f>
        <v>1969</v>
      </c>
      <c r="G252" s="1" t="s">
        <v>698</v>
      </c>
      <c r="H252" s="3">
        <f>IF(Sheet1!K252, 1, 0)
</f>
        <v>1</v>
      </c>
      <c r="I252" s="39" t="s">
        <v>699</v>
      </c>
      <c r="J252" s="3" t="str">
        <f>Sheet1!J252</f>
        <v>Log Cabin</v>
      </c>
      <c r="K252" s="39" t="s">
        <v>700</v>
      </c>
      <c r="L252" s="3" t="str">
        <f>Sheet1!L252</f>
        <v/>
      </c>
      <c r="M252" s="39" t="s">
        <v>701</v>
      </c>
      <c r="N252" s="3" t="str">
        <f>Sheet1!B252</f>
        <v>voter-white-lodge</v>
      </c>
      <c r="O252" s="39" t="s">
        <v>702</v>
      </c>
    </row>
    <row r="253">
      <c r="A253" s="1" t="s">
        <v>695</v>
      </c>
      <c r="B253" s="3" t="str">
        <f>Sheet1!C253</f>
        <v>Watson Camp</v>
      </c>
      <c r="C253" s="39" t="s">
        <v>696</v>
      </c>
      <c r="D253" s="3">
        <f>Sheet1!D253</f>
        <v>1980</v>
      </c>
      <c r="E253" s="1" t="s">
        <v>697</v>
      </c>
      <c r="F253" s="3">
        <f>Sheet1!E253</f>
        <v>2011</v>
      </c>
      <c r="G253" s="1" t="s">
        <v>698</v>
      </c>
      <c r="H253" s="3">
        <f>IF(Sheet1!K253, 1, 0)
</f>
        <v>1</v>
      </c>
      <c r="I253" s="39" t="s">
        <v>699</v>
      </c>
      <c r="J253" s="3" t="str">
        <f>Sheet1!J253</f>
        <v>Wood Frame Cabin</v>
      </c>
      <c r="K253" s="39" t="s">
        <v>700</v>
      </c>
      <c r="L253" s="3" t="str">
        <f>Sheet1!L253</f>
        <v/>
      </c>
      <c r="M253" s="39" t="s">
        <v>701</v>
      </c>
      <c r="N253" s="3" t="str">
        <f>Sheet1!B253</f>
        <v>watson-camp</v>
      </c>
      <c r="O253" s="39" t="s">
        <v>702</v>
      </c>
    </row>
    <row r="254">
      <c r="A254" s="1" t="s">
        <v>695</v>
      </c>
      <c r="B254" s="3" t="str">
        <f>Sheet1!C254</f>
        <v>Wheeler Pond Camps</v>
      </c>
      <c r="C254" s="39" t="s">
        <v>696</v>
      </c>
      <c r="D254" s="3">
        <f>Sheet1!D254</f>
        <v>2004</v>
      </c>
      <c r="E254" s="1" t="s">
        <v>697</v>
      </c>
      <c r="F254" s="3" t="str">
        <f>Sheet1!E254</f>
        <v/>
      </c>
      <c r="G254" s="1" t="s">
        <v>698</v>
      </c>
      <c r="H254" s="3">
        <f>IF(Sheet1!K254, 1, 0)
</f>
        <v>0</v>
      </c>
      <c r="I254" s="39" t="s">
        <v>699</v>
      </c>
      <c r="J254" s="3" t="str">
        <f>Sheet1!J254</f>
        <v>Wood Frame Cabin</v>
      </c>
      <c r="K254" s="39" t="s">
        <v>700</v>
      </c>
      <c r="L254" s="3" t="str">
        <f>Sheet1!L254</f>
        <v>This was managed by the AMC prior to donation to the GMC.</v>
      </c>
      <c r="M254" s="39" t="s">
        <v>701</v>
      </c>
      <c r="N254" s="3" t="str">
        <f>Sheet1!B254</f>
        <v>wheeler-pond-camps</v>
      </c>
      <c r="O254" s="39" t="s">
        <v>702</v>
      </c>
    </row>
    <row r="255">
      <c r="A255" s="1" t="s">
        <v>695</v>
      </c>
      <c r="B255" s="3" t="str">
        <f>Sheet1!C255</f>
        <v>Whiteface Lodge</v>
      </c>
      <c r="C255" s="39" t="s">
        <v>696</v>
      </c>
      <c r="D255" s="3">
        <f>Sheet1!D255</f>
        <v>1923</v>
      </c>
      <c r="E255" s="1" t="s">
        <v>697</v>
      </c>
      <c r="F255" s="3">
        <f>Sheet1!E255</f>
        <v>1958</v>
      </c>
      <c r="G255" s="1" t="s">
        <v>698</v>
      </c>
      <c r="H255" s="3">
        <f>IF(Sheet1!K255, 1, 0)
</f>
        <v>1</v>
      </c>
      <c r="I255" s="39" t="s">
        <v>699</v>
      </c>
      <c r="J255" s="3" t="str">
        <f>Sheet1!J255</f>
        <v>Log Lean-To</v>
      </c>
      <c r="K255" s="39" t="s">
        <v>700</v>
      </c>
      <c r="L255" s="3" t="str">
        <f>Sheet1!L255</f>
        <v/>
      </c>
      <c r="M255" s="39" t="s">
        <v>701</v>
      </c>
      <c r="N255" s="3" t="str">
        <f>Sheet1!B255</f>
        <v>whiteface-lodge</v>
      </c>
      <c r="O255" s="39" t="s">
        <v>702</v>
      </c>
    </row>
    <row r="256">
      <c r="A256" s="1" t="s">
        <v>695</v>
      </c>
      <c r="B256" s="3" t="str">
        <f>Sheet1!C256</f>
        <v>Whiteface Shelter</v>
      </c>
      <c r="C256" s="39" t="s">
        <v>696</v>
      </c>
      <c r="D256" s="3">
        <f>Sheet1!D256</f>
        <v>1958</v>
      </c>
      <c r="E256" s="1" t="s">
        <v>697</v>
      </c>
      <c r="F256" s="3" t="str">
        <f>Sheet1!E256</f>
        <v/>
      </c>
      <c r="G256" s="1" t="s">
        <v>698</v>
      </c>
      <c r="H256" s="3">
        <f>IF(Sheet1!K256, 1, 0)
</f>
        <v>1</v>
      </c>
      <c r="I256" s="39" t="s">
        <v>699</v>
      </c>
      <c r="J256" s="3" t="str">
        <f>Sheet1!J256</f>
        <v>Adirondak</v>
      </c>
      <c r="K256" s="39" t="s">
        <v>700</v>
      </c>
      <c r="L256" s="3" t="str">
        <f>Sheet1!L256</f>
        <v/>
      </c>
      <c r="M256" s="39" t="s">
        <v>701</v>
      </c>
      <c r="N256" s="3" t="str">
        <f>Sheet1!B256</f>
        <v>whiteface-shelter</v>
      </c>
      <c r="O256" s="39" t="s">
        <v>702</v>
      </c>
    </row>
    <row r="257">
      <c r="A257" s="1" t="s">
        <v>695</v>
      </c>
      <c r="B257" s="3" t="str">
        <f>Sheet1!C257</f>
        <v>Whitman Lodge</v>
      </c>
      <c r="C257" s="39" t="s">
        <v>696</v>
      </c>
      <c r="D257" s="3">
        <f>Sheet1!D257</f>
        <v>2010</v>
      </c>
      <c r="E257" s="1" t="s">
        <v>697</v>
      </c>
      <c r="F257" s="3" t="str">
        <f>Sheet1!E257</f>
        <v/>
      </c>
      <c r="G257" s="1" t="s">
        <v>698</v>
      </c>
      <c r="H257" s="3">
        <f>IF(Sheet1!K257, 1, 0)
</f>
        <v>1</v>
      </c>
      <c r="I257" s="39" t="s">
        <v>699</v>
      </c>
      <c r="J257" s="3" t="str">
        <f>Sheet1!J257</f>
        <v>Wood Log Cabin</v>
      </c>
      <c r="K257" s="39" t="s">
        <v>700</v>
      </c>
      <c r="L257" s="3" t="str">
        <f>Sheet1!L257</f>
        <v/>
      </c>
      <c r="M257" s="39" t="s">
        <v>701</v>
      </c>
      <c r="N257" s="3" t="str">
        <f>Sheet1!B257</f>
        <v>whitman-lodge</v>
      </c>
      <c r="O257" s="39" t="s">
        <v>702</v>
      </c>
    </row>
    <row r="258">
      <c r="A258" s="1" t="s">
        <v>695</v>
      </c>
      <c r="B258" s="3" t="str">
        <f>Sheet1!C258</f>
        <v>Wiley Lodge 1st</v>
      </c>
      <c r="C258" s="39" t="s">
        <v>696</v>
      </c>
      <c r="D258" s="3">
        <f>Sheet1!D258</f>
        <v>1949</v>
      </c>
      <c r="E258" s="1" t="s">
        <v>697</v>
      </c>
      <c r="F258" s="3">
        <f>Sheet1!E258</f>
        <v>1964</v>
      </c>
      <c r="G258" s="1" t="s">
        <v>698</v>
      </c>
      <c r="H258" s="3">
        <f>IF(Sheet1!K258, 1, 0)
</f>
        <v>1</v>
      </c>
      <c r="I258" s="39" t="s">
        <v>699</v>
      </c>
      <c r="J258" s="3" t="str">
        <f>Sheet1!J258</f>
        <v>Wood Frame cabin</v>
      </c>
      <c r="K258" s="39" t="s">
        <v>700</v>
      </c>
      <c r="L258" s="3" t="str">
        <f>Sheet1!L258</f>
        <v/>
      </c>
      <c r="M258" s="39" t="s">
        <v>701</v>
      </c>
      <c r="N258" s="3" t="str">
        <f>Sheet1!B258</f>
        <v>wiley-lodge-1</v>
      </c>
      <c r="O258" s="39" t="s">
        <v>702</v>
      </c>
    </row>
    <row r="259">
      <c r="A259" s="1" t="s">
        <v>695</v>
      </c>
      <c r="B259" s="3" t="str">
        <f>Sheet1!C259</f>
        <v>Wiley Lodge 2nd</v>
      </c>
      <c r="C259" s="39" t="s">
        <v>696</v>
      </c>
      <c r="D259" s="3">
        <f>Sheet1!D259</f>
        <v>1962</v>
      </c>
      <c r="E259" s="1" t="s">
        <v>697</v>
      </c>
      <c r="F259" s="3">
        <f>Sheet1!E259</f>
        <v>1985</v>
      </c>
      <c r="G259" s="1" t="s">
        <v>698</v>
      </c>
      <c r="H259" s="3">
        <f>IF(Sheet1!K259, 1, 0)
</f>
        <v>1</v>
      </c>
      <c r="I259" s="39" t="s">
        <v>699</v>
      </c>
      <c r="J259" s="3" t="str">
        <f>Sheet1!J259</f>
        <v>Wood Frame cabin</v>
      </c>
      <c r="K259" s="39" t="s">
        <v>700</v>
      </c>
      <c r="L259" s="3" t="str">
        <f>Sheet1!L259</f>
        <v/>
      </c>
      <c r="M259" s="39" t="s">
        <v>701</v>
      </c>
      <c r="N259" s="3" t="str">
        <f>Sheet1!B259</f>
        <v>wiley-lodge-2</v>
      </c>
      <c r="O259" s="39" t="s">
        <v>702</v>
      </c>
    </row>
    <row r="260">
      <c r="A260" s="1" t="s">
        <v>695</v>
      </c>
      <c r="B260" s="3" t="str">
        <f>Sheet1!C260</f>
        <v>William B Douglass Shelter</v>
      </c>
      <c r="C260" s="39" t="s">
        <v>696</v>
      </c>
      <c r="D260" s="3">
        <f>Sheet1!D260</f>
        <v>1974</v>
      </c>
      <c r="E260" s="1" t="s">
        <v>697</v>
      </c>
      <c r="F260" s="3" t="str">
        <f>Sheet1!E260</f>
        <v/>
      </c>
      <c r="G260" s="1" t="s">
        <v>698</v>
      </c>
      <c r="H260" s="3">
        <f>IF(Sheet1!K260, 1, 0)
</f>
        <v>1</v>
      </c>
      <c r="I260" s="39" t="s">
        <v>699</v>
      </c>
      <c r="J260" s="3" t="str">
        <f>Sheet1!J260</f>
        <v>Log Lean-To</v>
      </c>
      <c r="K260" s="39" t="s">
        <v>700</v>
      </c>
      <c r="L260" s="3" t="str">
        <f>Sheet1!L260</f>
        <v/>
      </c>
      <c r="M260" s="39" t="s">
        <v>701</v>
      </c>
      <c r="N260" s="3" t="str">
        <f>Sheet1!B260</f>
        <v>william-b-douglass-shelter</v>
      </c>
      <c r="O260" s="39" t="s">
        <v>702</v>
      </c>
    </row>
    <row r="261">
      <c r="A261" s="1" t="s">
        <v>695</v>
      </c>
      <c r="B261" s="3" t="str">
        <f>Sheet1!C261</f>
        <v>Willis-Ross Annex 1st</v>
      </c>
      <c r="C261" s="39" t="s">
        <v>696</v>
      </c>
      <c r="D261" s="3">
        <f>Sheet1!D261</f>
        <v>1934</v>
      </c>
      <c r="E261" s="1" t="s">
        <v>697</v>
      </c>
      <c r="F261" s="3">
        <f>Sheet1!E261</f>
        <v>1952</v>
      </c>
      <c r="G261" s="1" t="s">
        <v>698</v>
      </c>
      <c r="H261" s="3">
        <f>IF(Sheet1!K261, 1, 0)
</f>
        <v>1</v>
      </c>
      <c r="I261" s="39" t="s">
        <v>699</v>
      </c>
      <c r="J261" s="3" t="str">
        <f>Sheet1!J261</f>
        <v>Log Lean-To</v>
      </c>
      <c r="K261" s="39" t="s">
        <v>700</v>
      </c>
      <c r="L261" s="3" t="str">
        <f>Sheet1!L261</f>
        <v/>
      </c>
      <c r="M261" s="39" t="s">
        <v>701</v>
      </c>
      <c r="N261" s="3" t="str">
        <f>Sheet1!B261</f>
        <v>willis-ross-annex-1</v>
      </c>
      <c r="O261" s="39" t="s">
        <v>702</v>
      </c>
    </row>
    <row r="262">
      <c r="A262" s="1" t="s">
        <v>695</v>
      </c>
      <c r="B262" s="3" t="str">
        <f>Sheet1!C262</f>
        <v>Willis-Ross Annex 2nd</v>
      </c>
      <c r="C262" s="39" t="s">
        <v>696</v>
      </c>
      <c r="D262" s="3">
        <f>Sheet1!D262</f>
        <v>1953</v>
      </c>
      <c r="E262" s="1" t="s">
        <v>697</v>
      </c>
      <c r="F262" s="3">
        <f>Sheet1!E262</f>
        <v>1961</v>
      </c>
      <c r="G262" s="1" t="s">
        <v>698</v>
      </c>
      <c r="H262" s="3">
        <f>IF(Sheet1!K262, 1, 0)
</f>
        <v>1</v>
      </c>
      <c r="I262" s="39" t="s">
        <v>699</v>
      </c>
      <c r="J262" s="3" t="str">
        <f>Sheet1!J262</f>
        <v>Log Lean-To</v>
      </c>
      <c r="K262" s="39" t="s">
        <v>700</v>
      </c>
      <c r="L262" s="3" t="str">
        <f>Sheet1!L262</f>
        <v/>
      </c>
      <c r="M262" s="39" t="s">
        <v>701</v>
      </c>
      <c r="N262" s="3" t="str">
        <f>Sheet1!B262</f>
        <v>willis-ross-annex-2</v>
      </c>
      <c r="O262" s="39" t="s">
        <v>702</v>
      </c>
    </row>
    <row r="263">
      <c r="A263" s="1" t="s">
        <v>695</v>
      </c>
      <c r="B263" s="3" t="str">
        <f>Sheet1!C263</f>
        <v>Willis-Ross Camp</v>
      </c>
      <c r="C263" s="39" t="s">
        <v>696</v>
      </c>
      <c r="D263" s="3">
        <f>Sheet1!D263</f>
        <v>1929</v>
      </c>
      <c r="E263" s="1" t="s">
        <v>697</v>
      </c>
      <c r="F263" s="3">
        <f>Sheet1!E263</f>
        <v>1972</v>
      </c>
      <c r="G263" s="1" t="s">
        <v>698</v>
      </c>
      <c r="H263" s="3">
        <f>IF(Sheet1!K263, 1, 0)
</f>
        <v>1</v>
      </c>
      <c r="I263" s="39" t="s">
        <v>699</v>
      </c>
      <c r="J263" s="3" t="str">
        <f>Sheet1!J263</f>
        <v>Wood Frame cabin</v>
      </c>
      <c r="K263" s="39" t="s">
        <v>700</v>
      </c>
      <c r="L263" s="3" t="str">
        <f>Sheet1!L263</f>
        <v/>
      </c>
      <c r="M263" s="39" t="s">
        <v>701</v>
      </c>
      <c r="N263" s="3" t="str">
        <f>Sheet1!B263</f>
        <v>willis-ross-camp</v>
      </c>
      <c r="O263" s="39" t="s">
        <v>702</v>
      </c>
    </row>
    <row r="264">
      <c r="A264" s="1" t="s">
        <v>695</v>
      </c>
      <c r="B264" s="3" t="str">
        <f>Sheet1!C264</f>
        <v>Winturri Shelter 1st</v>
      </c>
      <c r="C264" s="39" t="s">
        <v>696</v>
      </c>
      <c r="D264" s="3">
        <f>Sheet1!D264</f>
        <v>1984</v>
      </c>
      <c r="E264" s="1" t="s">
        <v>697</v>
      </c>
      <c r="F264" s="3">
        <f>Sheet1!E264</f>
        <v>1994</v>
      </c>
      <c r="G264" s="1" t="s">
        <v>698</v>
      </c>
      <c r="H264" s="3">
        <f>IF(Sheet1!K264, 1, 0)
</f>
        <v>1</v>
      </c>
      <c r="I264" s="39" t="s">
        <v>699</v>
      </c>
      <c r="J264" s="3" t="str">
        <f>Sheet1!J264</f>
        <v>Log Lean-To</v>
      </c>
      <c r="K264" s="39" t="s">
        <v>700</v>
      </c>
      <c r="L264" s="3" t="str">
        <f>Sheet1!L264</f>
        <v/>
      </c>
      <c r="M264" s="39" t="s">
        <v>701</v>
      </c>
      <c r="N264" s="3" t="str">
        <f>Sheet1!B264</f>
        <v>winturri-shelter-1</v>
      </c>
      <c r="O264" s="39" t="s">
        <v>702</v>
      </c>
    </row>
    <row r="265">
      <c r="A265" s="1" t="s">
        <v>695</v>
      </c>
      <c r="B265" s="3" t="str">
        <f>Sheet1!C265</f>
        <v>Winturri Shelter 2nd</v>
      </c>
      <c r="C265" s="39" t="s">
        <v>696</v>
      </c>
      <c r="D265" s="3">
        <f>Sheet1!D265</f>
        <v>1995</v>
      </c>
      <c r="E265" s="1" t="s">
        <v>697</v>
      </c>
      <c r="F265" s="3" t="str">
        <f>Sheet1!E265</f>
        <v/>
      </c>
      <c r="G265" s="1" t="s">
        <v>698</v>
      </c>
      <c r="H265" s="3">
        <f>IF(Sheet1!K265, 1, 0)
</f>
        <v>1</v>
      </c>
      <c r="I265" s="39" t="s">
        <v>699</v>
      </c>
      <c r="J265" s="3" t="str">
        <f>Sheet1!J265</f>
        <v>Wood Frame Shelter</v>
      </c>
      <c r="K265" s="39" t="s">
        <v>700</v>
      </c>
      <c r="L265" s="3" t="str">
        <f>Sheet1!L265</f>
        <v/>
      </c>
      <c r="M265" s="39" t="s">
        <v>701</v>
      </c>
      <c r="N265" s="3" t="str">
        <f>Sheet1!B265</f>
        <v>winturri-shelter-2</v>
      </c>
      <c r="O265" s="39" t="s">
        <v>702</v>
      </c>
    </row>
    <row r="266">
      <c r="A266" s="1" t="s">
        <v>695</v>
      </c>
      <c r="B266" s="3" t="str">
        <f>Sheet1!C266</f>
        <v>Worth Mountain Lodge</v>
      </c>
      <c r="C266" s="39" t="s">
        <v>696</v>
      </c>
      <c r="D266" s="3">
        <f>Sheet1!D266</f>
        <v>1959</v>
      </c>
      <c r="E266" s="1" t="s">
        <v>697</v>
      </c>
      <c r="F266" s="3">
        <f>Sheet1!E266</f>
        <v>2011</v>
      </c>
      <c r="G266" s="1" t="s">
        <v>698</v>
      </c>
      <c r="H266" s="3">
        <f>IF(Sheet1!K266, 1, 0)
</f>
        <v>0</v>
      </c>
      <c r="I266" s="39" t="s">
        <v>699</v>
      </c>
      <c r="J266" s="3" t="str">
        <f>Sheet1!J266</f>
        <v>Wood Frame Cabin</v>
      </c>
      <c r="K266" s="39" t="s">
        <v>700</v>
      </c>
      <c r="L266" s="3" t="str">
        <f>Sheet1!L266</f>
        <v/>
      </c>
      <c r="M266" s="39" t="s">
        <v>701</v>
      </c>
      <c r="N266" s="3" t="str">
        <f>Sheet1!B266</f>
        <v>worth-mountain-lodge</v>
      </c>
      <c r="O266" s="39" t="s">
        <v>702</v>
      </c>
    </row>
    <row r="267">
      <c r="A267" s="1" t="s">
        <v>695</v>
      </c>
      <c r="B267" s="3" t="str">
        <f>Sheet1!C267</f>
        <v>Wyanoki Lodge</v>
      </c>
      <c r="C267" s="39" t="s">
        <v>696</v>
      </c>
      <c r="D267" s="3" t="str">
        <f>Sheet1!D267</f>
        <v/>
      </c>
      <c r="E267" s="1" t="s">
        <v>697</v>
      </c>
      <c r="F267" s="3">
        <f>Sheet1!E267</f>
        <v>1932</v>
      </c>
      <c r="G267" s="1" t="s">
        <v>698</v>
      </c>
      <c r="H267" s="3">
        <f>IF(Sheet1!K267, 1, 0)
</f>
        <v>0</v>
      </c>
      <c r="I267" s="39" t="s">
        <v>699</v>
      </c>
      <c r="J267" s="3" t="str">
        <f>Sheet1!J267</f>
        <v>Wood Building-burned</v>
      </c>
      <c r="K267" s="39" t="s">
        <v>700</v>
      </c>
      <c r="L267" s="3" t="str">
        <f>Sheet1!L267</f>
        <v/>
      </c>
      <c r="M267" s="39" t="s">
        <v>701</v>
      </c>
      <c r="N267" s="3" t="str">
        <f>Sheet1!B267</f>
        <v>wyanoki-lodge</v>
      </c>
      <c r="O267" s="39" t="s">
        <v>702</v>
      </c>
    </row>
    <row r="268">
      <c r="A268" s="1" t="s">
        <v>695</v>
      </c>
      <c r="B268" s="3" t="str">
        <f>Sheet1!C268</f>
        <v/>
      </c>
      <c r="C268" s="39" t="s">
        <v>696</v>
      </c>
      <c r="D268" s="3" t="str">
        <f>Sheet1!D268</f>
        <v/>
      </c>
      <c r="E268" s="1" t="s">
        <v>697</v>
      </c>
      <c r="F268" s="3" t="str">
        <f>Sheet1!E268</f>
        <v/>
      </c>
      <c r="G268" s="1" t="s">
        <v>698</v>
      </c>
      <c r="H268" s="3">
        <f>IF(Sheet1!K268, 1, 0)
</f>
        <v>0</v>
      </c>
      <c r="I268" s="39" t="s">
        <v>699</v>
      </c>
      <c r="J268" s="3" t="str">
        <f>Sheet1!J268</f>
        <v/>
      </c>
      <c r="K268" s="39" t="s">
        <v>700</v>
      </c>
      <c r="L268" s="3" t="str">
        <f>Sheet1!L268</f>
        <v/>
      </c>
      <c r="M268" s="39" t="s">
        <v>701</v>
      </c>
      <c r="N268" s="3" t="str">
        <f>Sheet1!B268</f>
        <v/>
      </c>
      <c r="O268" s="39" t="s">
        <v>702</v>
      </c>
    </row>
    <row r="269">
      <c r="A269" s="1" t="s">
        <v>695</v>
      </c>
      <c r="B269" s="3" t="str">
        <f>Sheet1!C269</f>
        <v/>
      </c>
      <c r="C269" s="39" t="s">
        <v>696</v>
      </c>
      <c r="D269" s="3" t="str">
        <f>Sheet1!D269</f>
        <v/>
      </c>
      <c r="E269" s="1" t="s">
        <v>697</v>
      </c>
      <c r="F269" s="3" t="str">
        <f>Sheet1!E269</f>
        <v/>
      </c>
      <c r="G269" s="1" t="s">
        <v>698</v>
      </c>
      <c r="H269" s="3">
        <f>IF(Sheet1!K269, 1, 0)
</f>
        <v>0</v>
      </c>
      <c r="I269" s="39" t="s">
        <v>699</v>
      </c>
      <c r="J269" s="3" t="str">
        <f>Sheet1!J269</f>
        <v/>
      </c>
      <c r="K269" s="39" t="s">
        <v>700</v>
      </c>
      <c r="L269" s="3" t="str">
        <f>Sheet1!L269</f>
        <v/>
      </c>
      <c r="M269" s="39" t="s">
        <v>701</v>
      </c>
      <c r="N269" s="3" t="str">
        <f>Sheet1!B269</f>
        <v/>
      </c>
      <c r="O269" s="39" t="s">
        <v>702</v>
      </c>
    </row>
    <row r="270">
      <c r="A270" s="1" t="s">
        <v>695</v>
      </c>
      <c r="B270" s="3" t="str">
        <f>Sheet1!C270</f>
        <v/>
      </c>
      <c r="C270" s="39" t="s">
        <v>696</v>
      </c>
      <c r="D270" s="3" t="str">
        <f>Sheet1!D270</f>
        <v/>
      </c>
      <c r="E270" s="1" t="s">
        <v>697</v>
      </c>
      <c r="F270" s="3" t="str">
        <f>Sheet1!E270</f>
        <v/>
      </c>
      <c r="G270" s="1" t="s">
        <v>698</v>
      </c>
      <c r="H270" s="3">
        <f>IF(Sheet1!K270, 1, 0)
</f>
        <v>0</v>
      </c>
      <c r="I270" s="39" t="s">
        <v>699</v>
      </c>
      <c r="J270" s="3" t="str">
        <f>Sheet1!J270</f>
        <v/>
      </c>
      <c r="K270" s="39" t="s">
        <v>700</v>
      </c>
      <c r="L270" s="3" t="str">
        <f>Sheet1!L270</f>
        <v/>
      </c>
      <c r="M270" s="39" t="s">
        <v>701</v>
      </c>
      <c r="N270" s="3" t="str">
        <f>Sheet1!B270</f>
        <v/>
      </c>
      <c r="O270" s="39" t="s">
        <v>702</v>
      </c>
    </row>
    <row r="271">
      <c r="A271" s="1" t="s">
        <v>695</v>
      </c>
      <c r="B271" s="3" t="str">
        <f>Sheet1!C271</f>
        <v/>
      </c>
      <c r="C271" s="39" t="s">
        <v>696</v>
      </c>
      <c r="D271" s="3" t="str">
        <f>Sheet1!D271</f>
        <v/>
      </c>
      <c r="E271" s="1" t="s">
        <v>697</v>
      </c>
      <c r="F271" s="3" t="str">
        <f>Sheet1!E271</f>
        <v/>
      </c>
      <c r="G271" s="1" t="s">
        <v>698</v>
      </c>
      <c r="H271" s="3">
        <f>IF(Sheet1!K271, 1, 0)
</f>
        <v>0</v>
      </c>
      <c r="I271" s="39" t="s">
        <v>699</v>
      </c>
      <c r="J271" s="3" t="str">
        <f>Sheet1!J271</f>
        <v/>
      </c>
      <c r="K271" s="39" t="s">
        <v>700</v>
      </c>
      <c r="L271" s="3" t="str">
        <f>Sheet1!L271</f>
        <v/>
      </c>
      <c r="M271" s="39" t="s">
        <v>701</v>
      </c>
      <c r="N271" s="3" t="str">
        <f>Sheet1!B271</f>
        <v/>
      </c>
      <c r="O271" s="39" t="s">
        <v>702</v>
      </c>
    </row>
    <row r="272">
      <c r="A272" s="1" t="s">
        <v>695</v>
      </c>
      <c r="B272" s="3" t="str">
        <f>Sheet1!C272</f>
        <v/>
      </c>
      <c r="C272" s="39" t="s">
        <v>696</v>
      </c>
      <c r="D272" s="3" t="str">
        <f>Sheet1!D272</f>
        <v/>
      </c>
      <c r="E272" s="1" t="s">
        <v>697</v>
      </c>
      <c r="F272" s="3" t="str">
        <f>Sheet1!E272</f>
        <v/>
      </c>
      <c r="G272" s="1" t="s">
        <v>698</v>
      </c>
      <c r="H272" s="3">
        <f>IF(Sheet1!K272, 1, 0)
</f>
        <v>0</v>
      </c>
      <c r="I272" s="39" t="s">
        <v>699</v>
      </c>
      <c r="J272" s="3" t="str">
        <f>Sheet1!J272</f>
        <v/>
      </c>
      <c r="K272" s="39" t="s">
        <v>700</v>
      </c>
      <c r="L272" s="3" t="str">
        <f>Sheet1!L272</f>
        <v/>
      </c>
      <c r="M272" s="39" t="s">
        <v>701</v>
      </c>
      <c r="N272" s="3" t="str">
        <f>Sheet1!B272</f>
        <v/>
      </c>
      <c r="O272" s="39" t="s">
        <v>702</v>
      </c>
    </row>
    <row r="273">
      <c r="A273" s="1" t="s">
        <v>695</v>
      </c>
      <c r="B273" s="3" t="str">
        <f>Sheet1!C273</f>
        <v/>
      </c>
      <c r="C273" s="39" t="s">
        <v>696</v>
      </c>
      <c r="D273" s="3" t="str">
        <f>Sheet1!D273</f>
        <v/>
      </c>
      <c r="E273" s="1" t="s">
        <v>697</v>
      </c>
      <c r="F273" s="3" t="str">
        <f>Sheet1!E273</f>
        <v/>
      </c>
      <c r="G273" s="1" t="s">
        <v>698</v>
      </c>
      <c r="H273" s="3">
        <f>IF(Sheet1!K273, 1, 0)
</f>
        <v>0</v>
      </c>
      <c r="I273" s="39" t="s">
        <v>699</v>
      </c>
      <c r="J273" s="3" t="str">
        <f>Sheet1!J273</f>
        <v/>
      </c>
      <c r="K273" s="39" t="s">
        <v>700</v>
      </c>
      <c r="L273" s="3" t="str">
        <f>Sheet1!L273</f>
        <v/>
      </c>
      <c r="M273" s="39" t="s">
        <v>701</v>
      </c>
      <c r="N273" s="3" t="str">
        <f>Sheet1!B273</f>
        <v/>
      </c>
      <c r="O273" s="39" t="s">
        <v>702</v>
      </c>
    </row>
    <row r="274">
      <c r="A274" s="1" t="s">
        <v>695</v>
      </c>
      <c r="B274" s="3" t="str">
        <f>Sheet1!C274</f>
        <v/>
      </c>
      <c r="C274" s="39" t="s">
        <v>696</v>
      </c>
      <c r="D274" s="3" t="str">
        <f>Sheet1!D274</f>
        <v/>
      </c>
      <c r="E274" s="1" t="s">
        <v>697</v>
      </c>
      <c r="F274" s="3" t="str">
        <f>Sheet1!E274</f>
        <v/>
      </c>
      <c r="G274" s="1" t="s">
        <v>698</v>
      </c>
      <c r="H274" s="3">
        <f>IF(Sheet1!K274, 1, 0)
</f>
        <v>0</v>
      </c>
      <c r="I274" s="39" t="s">
        <v>699</v>
      </c>
      <c r="J274" s="3" t="str">
        <f>Sheet1!J274</f>
        <v/>
      </c>
      <c r="K274" s="39" t="s">
        <v>700</v>
      </c>
      <c r="L274" s="3" t="str">
        <f>Sheet1!L274</f>
        <v/>
      </c>
      <c r="M274" s="39" t="s">
        <v>701</v>
      </c>
      <c r="N274" s="3" t="str">
        <f>Sheet1!B274</f>
        <v/>
      </c>
      <c r="O274" s="39" t="s">
        <v>702</v>
      </c>
    </row>
    <row r="275">
      <c r="A275" s="1" t="s">
        <v>695</v>
      </c>
      <c r="B275" s="3" t="str">
        <f>Sheet1!C275</f>
        <v/>
      </c>
      <c r="C275" s="39" t="s">
        <v>696</v>
      </c>
      <c r="D275" s="3" t="str">
        <f>Sheet1!D275</f>
        <v/>
      </c>
      <c r="E275" s="1" t="s">
        <v>697</v>
      </c>
      <c r="F275" s="3" t="str">
        <f>Sheet1!E275</f>
        <v/>
      </c>
      <c r="G275" s="1" t="s">
        <v>698</v>
      </c>
      <c r="H275" s="3">
        <f>IF(Sheet1!K275, 1, 0)
</f>
        <v>0</v>
      </c>
      <c r="I275" s="39" t="s">
        <v>699</v>
      </c>
      <c r="J275" s="3" t="str">
        <f>Sheet1!J275</f>
        <v/>
      </c>
      <c r="K275" s="39" t="s">
        <v>700</v>
      </c>
      <c r="L275" s="3" t="str">
        <f>Sheet1!L275</f>
        <v/>
      </c>
      <c r="M275" s="39" t="s">
        <v>701</v>
      </c>
      <c r="N275" s="3" t="str">
        <f>Sheet1!B275</f>
        <v/>
      </c>
      <c r="O275" s="39" t="s">
        <v>702</v>
      </c>
    </row>
    <row r="276">
      <c r="A276" s="1" t="s">
        <v>695</v>
      </c>
      <c r="B276" s="3" t="str">
        <f>Sheet1!C276</f>
        <v/>
      </c>
      <c r="C276" s="39" t="s">
        <v>696</v>
      </c>
      <c r="D276" s="3" t="str">
        <f>Sheet1!D276</f>
        <v/>
      </c>
      <c r="E276" s="1" t="s">
        <v>697</v>
      </c>
      <c r="F276" s="3" t="str">
        <f>Sheet1!E276</f>
        <v/>
      </c>
      <c r="G276" s="1" t="s">
        <v>698</v>
      </c>
      <c r="H276" s="3">
        <f>IF(Sheet1!K276, 1, 0)
</f>
        <v>0</v>
      </c>
      <c r="I276" s="39" t="s">
        <v>699</v>
      </c>
      <c r="J276" s="3" t="str">
        <f>Sheet1!J276</f>
        <v/>
      </c>
      <c r="K276" s="39" t="s">
        <v>700</v>
      </c>
      <c r="L276" s="3" t="str">
        <f>Sheet1!L276</f>
        <v/>
      </c>
      <c r="M276" s="39" t="s">
        <v>701</v>
      </c>
      <c r="N276" s="3" t="str">
        <f>Sheet1!B276</f>
        <v/>
      </c>
      <c r="O276" s="39" t="s">
        <v>702</v>
      </c>
    </row>
    <row r="277">
      <c r="A277" s="1" t="s">
        <v>695</v>
      </c>
      <c r="B277" s="3" t="str">
        <f>Sheet1!C277</f>
        <v/>
      </c>
      <c r="C277" s="39" t="s">
        <v>696</v>
      </c>
      <c r="D277" s="3" t="str">
        <f>Sheet1!D277</f>
        <v/>
      </c>
      <c r="E277" s="1" t="s">
        <v>697</v>
      </c>
      <c r="F277" s="3" t="str">
        <f>Sheet1!E277</f>
        <v/>
      </c>
      <c r="G277" s="1" t="s">
        <v>698</v>
      </c>
      <c r="H277" s="3">
        <f>IF(Sheet1!K277, 1, 0)
</f>
        <v>0</v>
      </c>
      <c r="I277" s="39" t="s">
        <v>699</v>
      </c>
      <c r="J277" s="3" t="str">
        <f>Sheet1!J277</f>
        <v/>
      </c>
      <c r="K277" s="39" t="s">
        <v>700</v>
      </c>
      <c r="L277" s="3" t="str">
        <f>Sheet1!L277</f>
        <v/>
      </c>
      <c r="M277" s="39" t="s">
        <v>701</v>
      </c>
      <c r="N277" s="3" t="str">
        <f>Sheet1!B277</f>
        <v/>
      </c>
      <c r="O277" s="39" t="s">
        <v>702</v>
      </c>
    </row>
    <row r="278">
      <c r="A278" s="1" t="s">
        <v>695</v>
      </c>
      <c r="B278" s="3" t="str">
        <f>Sheet1!C278</f>
        <v/>
      </c>
      <c r="C278" s="39" t="s">
        <v>696</v>
      </c>
      <c r="D278" s="3" t="str">
        <f>Sheet1!D278</f>
        <v/>
      </c>
      <c r="E278" s="1" t="s">
        <v>697</v>
      </c>
      <c r="F278" s="3" t="str">
        <f>Sheet1!E278</f>
        <v/>
      </c>
      <c r="G278" s="1" t="s">
        <v>698</v>
      </c>
      <c r="H278" s="3">
        <f>IF(Sheet1!K278, 1, 0)
</f>
        <v>0</v>
      </c>
      <c r="I278" s="39" t="s">
        <v>699</v>
      </c>
      <c r="J278" s="3" t="str">
        <f>Sheet1!J278</f>
        <v/>
      </c>
      <c r="K278" s="39" t="s">
        <v>700</v>
      </c>
      <c r="L278" s="3" t="str">
        <f>Sheet1!L278</f>
        <v/>
      </c>
      <c r="M278" s="39" t="s">
        <v>701</v>
      </c>
      <c r="N278" s="3" t="str">
        <f>Sheet1!B278</f>
        <v/>
      </c>
      <c r="O278" s="39" t="s">
        <v>702</v>
      </c>
    </row>
    <row r="279">
      <c r="A279" s="1" t="s">
        <v>695</v>
      </c>
      <c r="B279" s="3" t="str">
        <f>Sheet1!C279</f>
        <v/>
      </c>
      <c r="C279" s="39" t="s">
        <v>696</v>
      </c>
      <c r="D279" s="3" t="str">
        <f>Sheet1!D279</f>
        <v/>
      </c>
      <c r="E279" s="1" t="s">
        <v>697</v>
      </c>
      <c r="F279" s="3" t="str">
        <f>Sheet1!E279</f>
        <v/>
      </c>
      <c r="G279" s="1" t="s">
        <v>698</v>
      </c>
      <c r="H279" s="3">
        <f>IF(Sheet1!K279, 1, 0)
</f>
        <v>0</v>
      </c>
      <c r="I279" s="39" t="s">
        <v>699</v>
      </c>
      <c r="J279" s="3" t="str">
        <f>Sheet1!J279</f>
        <v/>
      </c>
      <c r="K279" s="39" t="s">
        <v>700</v>
      </c>
      <c r="L279" s="3" t="str">
        <f>Sheet1!L279</f>
        <v/>
      </c>
      <c r="M279" s="39" t="s">
        <v>701</v>
      </c>
      <c r="N279" s="3" t="str">
        <f>Sheet1!B279</f>
        <v/>
      </c>
      <c r="O279" s="39" t="s">
        <v>702</v>
      </c>
    </row>
    <row r="280">
      <c r="A280" s="1" t="s">
        <v>695</v>
      </c>
      <c r="B280" s="3" t="str">
        <f>Sheet1!C280</f>
        <v/>
      </c>
      <c r="C280" s="39" t="s">
        <v>696</v>
      </c>
      <c r="D280" s="3" t="str">
        <f>Sheet1!D280</f>
        <v/>
      </c>
      <c r="E280" s="1" t="s">
        <v>697</v>
      </c>
      <c r="F280" s="3" t="str">
        <f>Sheet1!E280</f>
        <v/>
      </c>
      <c r="G280" s="1" t="s">
        <v>698</v>
      </c>
      <c r="H280" s="3">
        <f>IF(Sheet1!K280, 1, 0)
</f>
        <v>0</v>
      </c>
      <c r="I280" s="39" t="s">
        <v>699</v>
      </c>
      <c r="J280" s="3" t="str">
        <f>Sheet1!J280</f>
        <v/>
      </c>
      <c r="K280" s="39" t="s">
        <v>700</v>
      </c>
      <c r="L280" s="3" t="str">
        <f>Sheet1!L280</f>
        <v/>
      </c>
      <c r="M280" s="39" t="s">
        <v>701</v>
      </c>
      <c r="N280" s="3" t="str">
        <f>Sheet1!B280</f>
        <v/>
      </c>
      <c r="O280" s="39" t="s">
        <v>702</v>
      </c>
    </row>
    <row r="281">
      <c r="A281" s="1" t="s">
        <v>695</v>
      </c>
      <c r="B281" s="3" t="str">
        <f>Sheet1!C281</f>
        <v/>
      </c>
      <c r="C281" s="39" t="s">
        <v>696</v>
      </c>
      <c r="D281" s="3" t="str">
        <f>Sheet1!D281</f>
        <v/>
      </c>
      <c r="E281" s="1" t="s">
        <v>697</v>
      </c>
      <c r="F281" s="3" t="str">
        <f>Sheet1!E281</f>
        <v/>
      </c>
      <c r="G281" s="1" t="s">
        <v>698</v>
      </c>
      <c r="H281" s="3">
        <f>IF(Sheet1!K281, 1, 0)
</f>
        <v>0</v>
      </c>
      <c r="I281" s="39" t="s">
        <v>699</v>
      </c>
      <c r="J281" s="3" t="str">
        <f>Sheet1!J281</f>
        <v/>
      </c>
      <c r="K281" s="39" t="s">
        <v>700</v>
      </c>
      <c r="L281" s="3" t="str">
        <f>Sheet1!L281</f>
        <v/>
      </c>
      <c r="M281" s="39" t="s">
        <v>701</v>
      </c>
      <c r="N281" s="3" t="str">
        <f>Sheet1!B281</f>
        <v/>
      </c>
      <c r="O281" s="39" t="s">
        <v>702</v>
      </c>
    </row>
    <row r="282">
      <c r="A282" s="1" t="s">
        <v>695</v>
      </c>
      <c r="B282" s="3" t="str">
        <f>Sheet1!C282</f>
        <v/>
      </c>
      <c r="C282" s="39" t="s">
        <v>696</v>
      </c>
      <c r="D282" s="3" t="str">
        <f>Sheet1!D282</f>
        <v/>
      </c>
      <c r="E282" s="1" t="s">
        <v>697</v>
      </c>
      <c r="F282" s="3" t="str">
        <f>Sheet1!E282</f>
        <v/>
      </c>
      <c r="G282" s="1" t="s">
        <v>698</v>
      </c>
      <c r="H282" s="3">
        <f>IF(Sheet1!K282, 1, 0)
</f>
        <v>0</v>
      </c>
      <c r="I282" s="39" t="s">
        <v>699</v>
      </c>
      <c r="J282" s="3" t="str">
        <f>Sheet1!J282</f>
        <v/>
      </c>
      <c r="K282" s="39" t="s">
        <v>700</v>
      </c>
      <c r="L282" s="3" t="str">
        <f>Sheet1!L282</f>
        <v/>
      </c>
      <c r="M282" s="39" t="s">
        <v>701</v>
      </c>
      <c r="N282" s="3" t="str">
        <f>Sheet1!B282</f>
        <v/>
      </c>
      <c r="O282" s="39" t="s">
        <v>702</v>
      </c>
    </row>
    <row r="283">
      <c r="A283" s="1" t="s">
        <v>695</v>
      </c>
      <c r="B283" s="3" t="str">
        <f>Sheet1!C283</f>
        <v/>
      </c>
      <c r="C283" s="39" t="s">
        <v>696</v>
      </c>
      <c r="D283" s="3" t="str">
        <f>Sheet1!D283</f>
        <v/>
      </c>
      <c r="E283" s="1" t="s">
        <v>697</v>
      </c>
      <c r="F283" s="3" t="str">
        <f>Sheet1!E283</f>
        <v/>
      </c>
      <c r="G283" s="1" t="s">
        <v>698</v>
      </c>
      <c r="H283" s="3">
        <f>IF(Sheet1!K283, 1, 0)
</f>
        <v>0</v>
      </c>
      <c r="I283" s="39" t="s">
        <v>699</v>
      </c>
      <c r="J283" s="3" t="str">
        <f>Sheet1!J283</f>
        <v/>
      </c>
      <c r="K283" s="39" t="s">
        <v>700</v>
      </c>
      <c r="L283" s="3" t="str">
        <f>Sheet1!L283</f>
        <v/>
      </c>
      <c r="M283" s="39" t="s">
        <v>701</v>
      </c>
      <c r="N283" s="3" t="str">
        <f>Sheet1!B283</f>
        <v/>
      </c>
      <c r="O283" s="39" t="s">
        <v>702</v>
      </c>
    </row>
    <row r="284">
      <c r="A284" s="1" t="s">
        <v>695</v>
      </c>
      <c r="B284" s="3" t="str">
        <f>Sheet1!C284</f>
        <v/>
      </c>
      <c r="C284" s="39" t="s">
        <v>696</v>
      </c>
      <c r="D284" s="3" t="str">
        <f>Sheet1!D284</f>
        <v/>
      </c>
      <c r="E284" s="1" t="s">
        <v>697</v>
      </c>
      <c r="F284" s="3" t="str">
        <f>Sheet1!E284</f>
        <v/>
      </c>
      <c r="G284" s="1" t="s">
        <v>698</v>
      </c>
      <c r="H284" s="3">
        <f>IF(Sheet1!K284, 1, 0)
</f>
        <v>0</v>
      </c>
      <c r="I284" s="39" t="s">
        <v>699</v>
      </c>
      <c r="J284" s="3" t="str">
        <f>Sheet1!J284</f>
        <v/>
      </c>
      <c r="K284" s="39" t="s">
        <v>700</v>
      </c>
      <c r="L284" s="3" t="str">
        <f>Sheet1!L284</f>
        <v/>
      </c>
      <c r="M284" s="39" t="s">
        <v>701</v>
      </c>
      <c r="N284" s="3" t="str">
        <f>Sheet1!B284</f>
        <v/>
      </c>
      <c r="O284" s="39" t="s">
        <v>702</v>
      </c>
    </row>
    <row r="285">
      <c r="A285" s="1" t="s">
        <v>695</v>
      </c>
      <c r="B285" s="3" t="str">
        <f>Sheet1!C285</f>
        <v/>
      </c>
      <c r="C285" s="39" t="s">
        <v>696</v>
      </c>
      <c r="D285" s="3" t="str">
        <f>Sheet1!D285</f>
        <v/>
      </c>
      <c r="E285" s="1" t="s">
        <v>697</v>
      </c>
      <c r="F285" s="3" t="str">
        <f>Sheet1!E285</f>
        <v/>
      </c>
      <c r="G285" s="1" t="s">
        <v>698</v>
      </c>
      <c r="H285" s="3">
        <f>IF(Sheet1!K285, 1, 0)
</f>
        <v>0</v>
      </c>
      <c r="I285" s="39" t="s">
        <v>699</v>
      </c>
      <c r="J285" s="3" t="str">
        <f>Sheet1!J285</f>
        <v/>
      </c>
      <c r="K285" s="39" t="s">
        <v>700</v>
      </c>
      <c r="L285" s="3" t="str">
        <f>Sheet1!L285</f>
        <v/>
      </c>
      <c r="M285" s="39" t="s">
        <v>701</v>
      </c>
      <c r="N285" s="3" t="str">
        <f>Sheet1!B285</f>
        <v/>
      </c>
      <c r="O285" s="39" t="s">
        <v>702</v>
      </c>
    </row>
    <row r="286">
      <c r="A286" s="1" t="s">
        <v>695</v>
      </c>
      <c r="B286" s="3" t="str">
        <f>Sheet1!C286</f>
        <v/>
      </c>
      <c r="C286" s="39" t="s">
        <v>696</v>
      </c>
      <c r="D286" s="3" t="str">
        <f>Sheet1!D286</f>
        <v/>
      </c>
      <c r="E286" s="1" t="s">
        <v>697</v>
      </c>
      <c r="F286" s="3" t="str">
        <f>Sheet1!E286</f>
        <v/>
      </c>
      <c r="G286" s="1" t="s">
        <v>698</v>
      </c>
      <c r="H286" s="3">
        <f>IF(Sheet1!K286, 1, 0)
</f>
        <v>0</v>
      </c>
      <c r="I286" s="39" t="s">
        <v>699</v>
      </c>
      <c r="J286" s="3" t="str">
        <f>Sheet1!J286</f>
        <v/>
      </c>
      <c r="K286" s="39" t="s">
        <v>700</v>
      </c>
      <c r="L286" s="3" t="str">
        <f>Sheet1!L286</f>
        <v/>
      </c>
      <c r="M286" s="39" t="s">
        <v>701</v>
      </c>
      <c r="N286" s="3" t="str">
        <f>Sheet1!B286</f>
        <v/>
      </c>
      <c r="O286" s="39" t="s">
        <v>702</v>
      </c>
    </row>
    <row r="287">
      <c r="A287" s="1" t="s">
        <v>703</v>
      </c>
      <c r="B287" s="3" t="str">
        <f>Sheet1!C289</f>
        <v/>
      </c>
      <c r="C287" s="39" t="s">
        <v>691</v>
      </c>
      <c r="G287" s="39" t="s">
        <v>691</v>
      </c>
      <c r="H287" s="3">
        <f>IF(Sheet1!K295, 1, 0)
</f>
        <v>0</v>
      </c>
      <c r="I287" s="1" t="s">
        <v>692</v>
      </c>
      <c r="K287" s="39" t="s">
        <v>693</v>
      </c>
      <c r="M287" s="39" t="s">
        <v>693</v>
      </c>
    </row>
    <row r="288">
      <c r="A288" s="1" t="s">
        <v>703</v>
      </c>
      <c r="B288" s="3" t="str">
        <f>Sheet1!C290</f>
        <v/>
      </c>
      <c r="C288" s="39" t="s">
        <v>691</v>
      </c>
      <c r="G288" s="39" t="s">
        <v>691</v>
      </c>
      <c r="H288" s="3">
        <f>IF(Sheet1!K296, 1, 0)
</f>
        <v>0</v>
      </c>
      <c r="I288" s="1" t="s">
        <v>692</v>
      </c>
      <c r="K288" s="39" t="s">
        <v>693</v>
      </c>
      <c r="M288" s="39" t="s">
        <v>693</v>
      </c>
    </row>
    <row r="289">
      <c r="A289" s="1" t="s">
        <v>703</v>
      </c>
      <c r="B289" s="3" t="str">
        <f>Sheet1!C291</f>
        <v/>
      </c>
      <c r="C289" s="39" t="s">
        <v>691</v>
      </c>
      <c r="G289" s="39" t="s">
        <v>691</v>
      </c>
      <c r="H289" s="3">
        <f>IF(Sheet1!K297, 1, 0)
</f>
        <v>0</v>
      </c>
      <c r="I289" s="1" t="s">
        <v>692</v>
      </c>
      <c r="K289" s="39" t="s">
        <v>693</v>
      </c>
      <c r="M289" s="39" t="s">
        <v>693</v>
      </c>
    </row>
    <row r="290">
      <c r="A290" s="1" t="s">
        <v>703</v>
      </c>
      <c r="B290" s="3" t="str">
        <f>Sheet1!C292</f>
        <v/>
      </c>
      <c r="C290" s="39" t="s">
        <v>691</v>
      </c>
      <c r="G290" s="39" t="s">
        <v>691</v>
      </c>
      <c r="H290" s="3">
        <f>IF(Sheet1!K298, 1, 0)
</f>
        <v>0</v>
      </c>
      <c r="I290" s="1" t="s">
        <v>692</v>
      </c>
      <c r="K290" s="39" t="s">
        <v>693</v>
      </c>
      <c r="M290" s="39" t="s">
        <v>693</v>
      </c>
    </row>
    <row r="291">
      <c r="A291" s="1" t="s">
        <v>703</v>
      </c>
      <c r="B291" s="3" t="str">
        <f>Sheet1!C293</f>
        <v/>
      </c>
      <c r="C291" s="39" t="s">
        <v>691</v>
      </c>
      <c r="G291" s="39" t="s">
        <v>691</v>
      </c>
      <c r="H291" s="3">
        <f>IF(Sheet1!K299, 1, 0)
</f>
        <v>0</v>
      </c>
      <c r="I291" s="1" t="s">
        <v>692</v>
      </c>
      <c r="K291" s="39" t="s">
        <v>693</v>
      </c>
      <c r="M291" s="39" t="s">
        <v>693</v>
      </c>
    </row>
    <row r="292">
      <c r="A292" s="1" t="s">
        <v>703</v>
      </c>
      <c r="C292" s="39" t="s">
        <v>691</v>
      </c>
      <c r="G292" s="39" t="s">
        <v>691</v>
      </c>
      <c r="H292" s="3">
        <f>IF(Sheet1!K300, 1, 0)
</f>
        <v>0</v>
      </c>
      <c r="I292" s="1" t="s">
        <v>692</v>
      </c>
      <c r="K292" s="39" t="s">
        <v>693</v>
      </c>
      <c r="M292" s="39" t="s">
        <v>693</v>
      </c>
    </row>
    <row r="293">
      <c r="A293" s="1" t="s">
        <v>703</v>
      </c>
      <c r="C293" s="39" t="s">
        <v>691</v>
      </c>
      <c r="G293" s="39" t="s">
        <v>691</v>
      </c>
      <c r="H293" s="3">
        <f>IF(Sheet1!K301, 1, 0)
</f>
        <v>0</v>
      </c>
      <c r="I293" s="1" t="s">
        <v>692</v>
      </c>
      <c r="K293" s="39" t="s">
        <v>693</v>
      </c>
      <c r="M293" s="39" t="s">
        <v>693</v>
      </c>
    </row>
    <row r="294">
      <c r="A294" s="1" t="s">
        <v>703</v>
      </c>
      <c r="C294" s="39" t="s">
        <v>691</v>
      </c>
      <c r="G294" s="39" t="s">
        <v>691</v>
      </c>
      <c r="H294" s="3">
        <f>IF(Sheet1!K302, 1, 0)
</f>
        <v>0</v>
      </c>
      <c r="I294" s="1" t="s">
        <v>692</v>
      </c>
      <c r="K294" s="39" t="s">
        <v>693</v>
      </c>
      <c r="M294" s="39" t="s">
        <v>693</v>
      </c>
    </row>
    <row r="295">
      <c r="A295" s="1" t="s">
        <v>703</v>
      </c>
      <c r="C295" s="39" t="s">
        <v>691</v>
      </c>
      <c r="G295" s="39" t="s">
        <v>691</v>
      </c>
      <c r="H295" s="3">
        <f>IF(Sheet1!K303, 1, 0)
</f>
        <v>0</v>
      </c>
      <c r="I295" s="1" t="s">
        <v>692</v>
      </c>
      <c r="K295" s="39" t="s">
        <v>693</v>
      </c>
      <c r="M295" s="39" t="s">
        <v>693</v>
      </c>
    </row>
    <row r="296">
      <c r="A296" s="1" t="s">
        <v>703</v>
      </c>
      <c r="C296" s="39" t="s">
        <v>691</v>
      </c>
      <c r="G296" s="39" t="s">
        <v>691</v>
      </c>
      <c r="H296" s="3">
        <f>IF(Sheet1!K304, 1, 0)
</f>
        <v>0</v>
      </c>
      <c r="I296" s="1" t="s">
        <v>692</v>
      </c>
      <c r="K296" s="39" t="s">
        <v>693</v>
      </c>
      <c r="M296" s="39" t="s">
        <v>693</v>
      </c>
    </row>
    <row r="297">
      <c r="A297" s="1" t="s">
        <v>703</v>
      </c>
      <c r="C297" s="39" t="s">
        <v>691</v>
      </c>
      <c r="G297" s="39" t="s">
        <v>691</v>
      </c>
      <c r="H297" s="3">
        <f>IF(Sheet1!K305, 1, 0)
</f>
        <v>0</v>
      </c>
      <c r="I297" s="1" t="s">
        <v>692</v>
      </c>
      <c r="K297" s="39" t="s">
        <v>693</v>
      </c>
      <c r="M297" s="39" t="s">
        <v>693</v>
      </c>
    </row>
    <row r="298">
      <c r="A298" s="1" t="s">
        <v>703</v>
      </c>
      <c r="C298" s="39" t="s">
        <v>691</v>
      </c>
      <c r="G298" s="39" t="s">
        <v>691</v>
      </c>
      <c r="H298" s="3">
        <f>IF(Sheet1!K306, 1, 0)
</f>
        <v>0</v>
      </c>
      <c r="I298" s="1" t="s">
        <v>692</v>
      </c>
      <c r="K298" s="39" t="s">
        <v>693</v>
      </c>
      <c r="M298" s="39" t="s">
        <v>693</v>
      </c>
    </row>
    <row r="299">
      <c r="A299" s="1" t="s">
        <v>703</v>
      </c>
      <c r="C299" s="39" t="s">
        <v>691</v>
      </c>
      <c r="G299" s="39" t="s">
        <v>691</v>
      </c>
      <c r="H299" s="3">
        <f>IF(Sheet1!K307, 1, 0)
</f>
        <v>0</v>
      </c>
      <c r="I299" s="1" t="s">
        <v>692</v>
      </c>
      <c r="K299" s="39" t="s">
        <v>693</v>
      </c>
      <c r="M299" s="39" t="s">
        <v>693</v>
      </c>
    </row>
    <row r="300">
      <c r="A300" s="1" t="s">
        <v>703</v>
      </c>
      <c r="C300" s="39" t="s">
        <v>691</v>
      </c>
      <c r="G300" s="39" t="s">
        <v>691</v>
      </c>
      <c r="H300" s="3">
        <f>IF(Sheet1!K308, 1, 0)
</f>
        <v>0</v>
      </c>
      <c r="I300" s="1" t="s">
        <v>692</v>
      </c>
      <c r="K300" s="39" t="s">
        <v>693</v>
      </c>
      <c r="M300" s="39" t="s">
        <v>693</v>
      </c>
    </row>
    <row r="301">
      <c r="A301" s="1" t="s">
        <v>703</v>
      </c>
      <c r="C301" s="39" t="s">
        <v>691</v>
      </c>
      <c r="G301" s="39" t="s">
        <v>691</v>
      </c>
      <c r="H301" s="3">
        <f>IF(Sheet1!K309, 1, 0)
</f>
        <v>0</v>
      </c>
      <c r="I301" s="1" t="s">
        <v>692</v>
      </c>
      <c r="K301" s="39" t="s">
        <v>693</v>
      </c>
      <c r="M301" s="39" t="s">
        <v>693</v>
      </c>
    </row>
    <row r="302">
      <c r="A302" s="1" t="s">
        <v>703</v>
      </c>
      <c r="C302" s="39" t="s">
        <v>691</v>
      </c>
      <c r="G302" s="39" t="s">
        <v>691</v>
      </c>
      <c r="H302" s="3">
        <f>IF(Sheet1!K310, 1, 0)
</f>
        <v>0</v>
      </c>
      <c r="I302" s="1" t="s">
        <v>692</v>
      </c>
      <c r="K302" s="39" t="s">
        <v>693</v>
      </c>
      <c r="M302" s="39" t="s">
        <v>693</v>
      </c>
    </row>
    <row r="303">
      <c r="A303" s="1" t="s">
        <v>703</v>
      </c>
      <c r="C303" s="39" t="s">
        <v>691</v>
      </c>
      <c r="G303" s="39" t="s">
        <v>691</v>
      </c>
      <c r="H303" s="3">
        <f>IF(Sheet1!K311, 1, 0)
</f>
        <v>0</v>
      </c>
      <c r="I303" s="1" t="s">
        <v>692</v>
      </c>
      <c r="K303" s="39" t="s">
        <v>693</v>
      </c>
      <c r="M303" s="39" t="s">
        <v>693</v>
      </c>
    </row>
    <row r="304">
      <c r="A304" s="1" t="s">
        <v>703</v>
      </c>
      <c r="C304" s="39" t="s">
        <v>691</v>
      </c>
      <c r="G304" s="39" t="s">
        <v>691</v>
      </c>
      <c r="H304" s="3">
        <f>IF(Sheet1!K312, 1, 0)
</f>
        <v>0</v>
      </c>
      <c r="I304" s="1" t="s">
        <v>692</v>
      </c>
      <c r="K304" s="39" t="s">
        <v>693</v>
      </c>
      <c r="M304" s="39" t="s">
        <v>693</v>
      </c>
    </row>
    <row r="305">
      <c r="A305" s="1" t="s">
        <v>703</v>
      </c>
      <c r="C305" s="39" t="s">
        <v>691</v>
      </c>
      <c r="G305" s="39" t="s">
        <v>691</v>
      </c>
      <c r="H305" s="3">
        <f>IF(Sheet1!K313, 1, 0)
</f>
        <v>0</v>
      </c>
      <c r="I305" s="1" t="s">
        <v>692</v>
      </c>
      <c r="K305" s="39" t="s">
        <v>693</v>
      </c>
      <c r="M305" s="39" t="s">
        <v>693</v>
      </c>
    </row>
    <row r="306">
      <c r="A306" s="1" t="s">
        <v>703</v>
      </c>
      <c r="C306" s="39" t="s">
        <v>691</v>
      </c>
      <c r="G306" s="39" t="s">
        <v>691</v>
      </c>
      <c r="H306" s="3">
        <f>IF(Sheet1!K314, 1, 0)
</f>
        <v>0</v>
      </c>
      <c r="I306" s="1" t="s">
        <v>692</v>
      </c>
      <c r="K306" s="39" t="s">
        <v>693</v>
      </c>
      <c r="M306" s="39" t="s">
        <v>693</v>
      </c>
    </row>
    <row r="307">
      <c r="A307" s="1" t="s">
        <v>703</v>
      </c>
      <c r="C307" s="39" t="s">
        <v>691</v>
      </c>
      <c r="G307" s="39" t="s">
        <v>691</v>
      </c>
      <c r="H307" s="3">
        <f>IF(Sheet1!K315, 1, 0)
</f>
        <v>0</v>
      </c>
      <c r="I307" s="1" t="s">
        <v>692</v>
      </c>
      <c r="K307" s="39" t="s">
        <v>693</v>
      </c>
      <c r="M307" s="39" t="s">
        <v>693</v>
      </c>
    </row>
    <row r="308">
      <c r="A308" s="1" t="s">
        <v>703</v>
      </c>
      <c r="C308" s="39" t="s">
        <v>691</v>
      </c>
      <c r="G308" s="39" t="s">
        <v>691</v>
      </c>
      <c r="H308" s="3">
        <f>IF(Sheet1!K316, 1, 0)
</f>
        <v>0</v>
      </c>
      <c r="I308" s="1" t="s">
        <v>692</v>
      </c>
      <c r="K308" s="39" t="s">
        <v>693</v>
      </c>
      <c r="M308" s="39" t="s">
        <v>693</v>
      </c>
    </row>
    <row r="309">
      <c r="A309" s="1" t="s">
        <v>703</v>
      </c>
      <c r="C309" s="39" t="s">
        <v>691</v>
      </c>
      <c r="G309" s="39" t="s">
        <v>691</v>
      </c>
      <c r="H309" s="3">
        <f>IF(Sheet1!K317, 1, 0)
</f>
        <v>0</v>
      </c>
      <c r="I309" s="1" t="s">
        <v>692</v>
      </c>
      <c r="K309" s="39" t="s">
        <v>693</v>
      </c>
      <c r="M309" s="39" t="s">
        <v>693</v>
      </c>
    </row>
    <row r="310">
      <c r="A310" s="1" t="s">
        <v>703</v>
      </c>
      <c r="C310" s="39" t="s">
        <v>691</v>
      </c>
      <c r="G310" s="39" t="s">
        <v>691</v>
      </c>
      <c r="H310" s="3">
        <f>IF(Sheet1!K318, 1, 0)
</f>
        <v>0</v>
      </c>
      <c r="I310" s="1" t="s">
        <v>692</v>
      </c>
      <c r="K310" s="39" t="s">
        <v>693</v>
      </c>
      <c r="M310" s="39" t="s">
        <v>693</v>
      </c>
    </row>
    <row r="311">
      <c r="A311" s="1" t="s">
        <v>703</v>
      </c>
      <c r="C311" s="39" t="s">
        <v>691</v>
      </c>
      <c r="G311" s="39" t="s">
        <v>691</v>
      </c>
      <c r="H311" s="3">
        <f>IF(Sheet1!K319, 1, 0)
</f>
        <v>0</v>
      </c>
      <c r="I311" s="1" t="s">
        <v>692</v>
      </c>
      <c r="K311" s="39" t="s">
        <v>693</v>
      </c>
      <c r="M311" s="39" t="s">
        <v>693</v>
      </c>
    </row>
    <row r="312">
      <c r="A312" s="1" t="s">
        <v>703</v>
      </c>
      <c r="C312" s="39" t="s">
        <v>691</v>
      </c>
      <c r="G312" s="39" t="s">
        <v>691</v>
      </c>
      <c r="H312" s="3">
        <f>IF(Sheet1!K320, 1, 0)
</f>
        <v>0</v>
      </c>
      <c r="I312" s="1" t="s">
        <v>692</v>
      </c>
      <c r="K312" s="39" t="s">
        <v>693</v>
      </c>
      <c r="M312" s="39" t="s">
        <v>693</v>
      </c>
    </row>
    <row r="313">
      <c r="A313" s="1" t="s">
        <v>703</v>
      </c>
      <c r="C313" s="39" t="s">
        <v>691</v>
      </c>
      <c r="G313" s="39" t="s">
        <v>691</v>
      </c>
      <c r="H313" s="3">
        <f>IF(Sheet1!K321, 1, 0)
</f>
        <v>0</v>
      </c>
      <c r="I313" s="1" t="s">
        <v>692</v>
      </c>
      <c r="K313" s="39" t="s">
        <v>693</v>
      </c>
      <c r="M313" s="39" t="s">
        <v>693</v>
      </c>
    </row>
    <row r="314">
      <c r="A314" s="1" t="s">
        <v>703</v>
      </c>
      <c r="C314" s="39" t="s">
        <v>691</v>
      </c>
      <c r="G314" s="39" t="s">
        <v>691</v>
      </c>
      <c r="H314" s="3">
        <f>IF(Sheet1!K322, 1, 0)
</f>
        <v>0</v>
      </c>
      <c r="I314" s="1" t="s">
        <v>692</v>
      </c>
      <c r="K314" s="39" t="s">
        <v>693</v>
      </c>
      <c r="M314" s="39" t="s">
        <v>693</v>
      </c>
    </row>
    <row r="315">
      <c r="A315" s="1" t="s">
        <v>703</v>
      </c>
      <c r="C315" s="39" t="s">
        <v>691</v>
      </c>
      <c r="G315" s="39" t="s">
        <v>691</v>
      </c>
      <c r="H315" s="3">
        <f>IF(Sheet1!K323, 1, 0)
</f>
        <v>0</v>
      </c>
      <c r="I315" s="1" t="s">
        <v>692</v>
      </c>
      <c r="K315" s="39" t="s">
        <v>693</v>
      </c>
      <c r="M315" s="39" t="s">
        <v>693</v>
      </c>
    </row>
    <row r="316">
      <c r="A316" s="1" t="s">
        <v>703</v>
      </c>
      <c r="C316" s="39" t="s">
        <v>691</v>
      </c>
      <c r="G316" s="39" t="s">
        <v>691</v>
      </c>
      <c r="H316" s="3">
        <f>IF(Sheet1!K324, 1, 0)
</f>
        <v>0</v>
      </c>
      <c r="I316" s="1" t="s">
        <v>692</v>
      </c>
      <c r="K316" s="39" t="s">
        <v>693</v>
      </c>
      <c r="M316" s="39" t="s">
        <v>693</v>
      </c>
    </row>
    <row r="317">
      <c r="A317" s="1" t="s">
        <v>703</v>
      </c>
      <c r="C317" s="39" t="s">
        <v>691</v>
      </c>
      <c r="G317" s="39" t="s">
        <v>691</v>
      </c>
      <c r="H317" s="3">
        <f>IF(Sheet1!K325, 1, 0)
</f>
        <v>0</v>
      </c>
      <c r="I317" s="1" t="s">
        <v>692</v>
      </c>
      <c r="K317" s="39" t="s">
        <v>693</v>
      </c>
      <c r="M317" s="39" t="s">
        <v>693</v>
      </c>
    </row>
    <row r="318">
      <c r="A318" s="1" t="s">
        <v>703</v>
      </c>
      <c r="C318" s="39" t="s">
        <v>691</v>
      </c>
      <c r="G318" s="39" t="s">
        <v>691</v>
      </c>
      <c r="H318" s="3">
        <f>IF(Sheet1!K326, 1, 0)
</f>
        <v>0</v>
      </c>
      <c r="I318" s="1" t="s">
        <v>692</v>
      </c>
      <c r="K318" s="39" t="s">
        <v>693</v>
      </c>
      <c r="M318" s="39" t="s">
        <v>693</v>
      </c>
    </row>
    <row r="319">
      <c r="A319" s="1" t="s">
        <v>703</v>
      </c>
      <c r="C319" s="39" t="s">
        <v>691</v>
      </c>
      <c r="G319" s="39" t="s">
        <v>691</v>
      </c>
      <c r="H319" s="3">
        <f>IF(Sheet1!K327, 1, 0)
</f>
        <v>0</v>
      </c>
      <c r="I319" s="1" t="s">
        <v>692</v>
      </c>
      <c r="K319" s="39" t="s">
        <v>693</v>
      </c>
      <c r="M319" s="39" t="s">
        <v>693</v>
      </c>
    </row>
    <row r="320">
      <c r="A320" s="1" t="s">
        <v>703</v>
      </c>
      <c r="C320" s="39" t="s">
        <v>691</v>
      </c>
      <c r="G320" s="39" t="s">
        <v>691</v>
      </c>
      <c r="H320" s="3">
        <f>IF(Sheet1!K328, 1, 0)
</f>
        <v>0</v>
      </c>
      <c r="I320" s="1" t="s">
        <v>692</v>
      </c>
      <c r="K320" s="39" t="s">
        <v>693</v>
      </c>
      <c r="M320" s="39" t="s">
        <v>693</v>
      </c>
    </row>
    <row r="321">
      <c r="A321" s="1" t="s">
        <v>703</v>
      </c>
      <c r="C321" s="39" t="s">
        <v>691</v>
      </c>
      <c r="G321" s="39" t="s">
        <v>691</v>
      </c>
      <c r="H321" s="3">
        <f>IF(Sheet1!K329, 1, 0)
</f>
        <v>0</v>
      </c>
      <c r="I321" s="1" t="s">
        <v>692</v>
      </c>
      <c r="K321" s="39" t="s">
        <v>693</v>
      </c>
      <c r="M321" s="39" t="s">
        <v>693</v>
      </c>
    </row>
    <row r="322">
      <c r="A322" s="1" t="s">
        <v>703</v>
      </c>
      <c r="C322" s="39" t="s">
        <v>691</v>
      </c>
      <c r="G322" s="39" t="s">
        <v>691</v>
      </c>
      <c r="H322" s="3">
        <f>IF(Sheet1!K330, 1, 0)
</f>
        <v>0</v>
      </c>
      <c r="I322" s="1" t="s">
        <v>692</v>
      </c>
      <c r="K322" s="39" t="s">
        <v>693</v>
      </c>
      <c r="M322" s="39" t="s">
        <v>693</v>
      </c>
    </row>
    <row r="323">
      <c r="A323" s="1" t="s">
        <v>703</v>
      </c>
      <c r="C323" s="39" t="s">
        <v>691</v>
      </c>
      <c r="G323" s="39" t="s">
        <v>691</v>
      </c>
      <c r="H323" s="3">
        <f>IF(Sheet1!K331, 1, 0)
</f>
        <v>0</v>
      </c>
      <c r="I323" s="1" t="s">
        <v>692</v>
      </c>
      <c r="K323" s="39" t="s">
        <v>693</v>
      </c>
      <c r="M323" s="39" t="s">
        <v>693</v>
      </c>
    </row>
    <row r="324">
      <c r="A324" s="1" t="s">
        <v>703</v>
      </c>
      <c r="C324" s="39" t="s">
        <v>691</v>
      </c>
      <c r="G324" s="39" t="s">
        <v>691</v>
      </c>
      <c r="H324" s="3">
        <f>IF(Sheet1!K332, 1, 0)
</f>
        <v>0</v>
      </c>
      <c r="I324" s="1" t="s">
        <v>692</v>
      </c>
      <c r="K324" s="39" t="s">
        <v>693</v>
      </c>
      <c r="M324" s="39" t="s">
        <v>693</v>
      </c>
    </row>
    <row r="325">
      <c r="A325" s="1" t="s">
        <v>703</v>
      </c>
      <c r="C325" s="39" t="s">
        <v>691</v>
      </c>
      <c r="G325" s="39" t="s">
        <v>691</v>
      </c>
      <c r="H325" s="3">
        <f>IF(Sheet1!K333, 1, 0)
</f>
        <v>0</v>
      </c>
      <c r="I325" s="1" t="s">
        <v>692</v>
      </c>
      <c r="K325" s="39" t="s">
        <v>693</v>
      </c>
      <c r="M325" s="39" t="s">
        <v>693</v>
      </c>
    </row>
    <row r="326">
      <c r="A326" s="1" t="s">
        <v>703</v>
      </c>
      <c r="C326" s="39" t="s">
        <v>691</v>
      </c>
      <c r="G326" s="39" t="s">
        <v>691</v>
      </c>
      <c r="H326" s="3">
        <f>IF(Sheet1!K334, 1, 0)
</f>
        <v>0</v>
      </c>
      <c r="I326" s="1" t="s">
        <v>692</v>
      </c>
      <c r="K326" s="39" t="s">
        <v>693</v>
      </c>
      <c r="M326" s="39" t="s">
        <v>693</v>
      </c>
    </row>
    <row r="327">
      <c r="A327" s="1" t="s">
        <v>703</v>
      </c>
      <c r="C327" s="39" t="s">
        <v>691</v>
      </c>
      <c r="G327" s="39" t="s">
        <v>691</v>
      </c>
      <c r="H327" s="3">
        <f>IF(Sheet1!K335, 1, 0)
</f>
        <v>0</v>
      </c>
      <c r="I327" s="1" t="s">
        <v>692</v>
      </c>
      <c r="K327" s="39" t="s">
        <v>693</v>
      </c>
      <c r="M327" s="39" t="s">
        <v>693</v>
      </c>
    </row>
    <row r="328">
      <c r="A328" s="1" t="s">
        <v>703</v>
      </c>
      <c r="C328" s="39" t="s">
        <v>691</v>
      </c>
      <c r="G328" s="39" t="s">
        <v>691</v>
      </c>
      <c r="H328" s="3">
        <f>IF(Sheet1!K336, 1, 0)
</f>
        <v>0</v>
      </c>
      <c r="I328" s="1" t="s">
        <v>692</v>
      </c>
      <c r="K328" s="39" t="s">
        <v>693</v>
      </c>
      <c r="M328" s="39" t="s">
        <v>693</v>
      </c>
    </row>
    <row r="329">
      <c r="A329" s="1" t="s">
        <v>703</v>
      </c>
      <c r="C329" s="39" t="s">
        <v>691</v>
      </c>
      <c r="G329" s="39" t="s">
        <v>691</v>
      </c>
      <c r="H329" s="3">
        <f>IF(Sheet1!K337, 1, 0)
</f>
        <v>0</v>
      </c>
      <c r="I329" s="1" t="s">
        <v>692</v>
      </c>
      <c r="K329" s="39" t="s">
        <v>693</v>
      </c>
      <c r="M329" s="39" t="s">
        <v>693</v>
      </c>
    </row>
    <row r="330">
      <c r="A330" s="1" t="s">
        <v>703</v>
      </c>
      <c r="C330" s="39" t="s">
        <v>691</v>
      </c>
      <c r="G330" s="39" t="s">
        <v>691</v>
      </c>
      <c r="H330" s="3">
        <f>IF(Sheet1!K338, 1, 0)
</f>
        <v>0</v>
      </c>
      <c r="I330" s="1" t="s">
        <v>692</v>
      </c>
      <c r="K330" s="39" t="s">
        <v>693</v>
      </c>
      <c r="M330" s="39" t="s">
        <v>693</v>
      </c>
    </row>
    <row r="331">
      <c r="A331" s="1" t="s">
        <v>703</v>
      </c>
      <c r="C331" s="39" t="s">
        <v>691</v>
      </c>
      <c r="G331" s="39" t="s">
        <v>691</v>
      </c>
      <c r="H331" s="3">
        <f>IF(Sheet1!K339, 1, 0)
</f>
        <v>0</v>
      </c>
      <c r="I331" s="1" t="s">
        <v>692</v>
      </c>
      <c r="K331" s="39" t="s">
        <v>693</v>
      </c>
      <c r="M331" s="39" t="s">
        <v>693</v>
      </c>
    </row>
    <row r="332">
      <c r="A332" s="1" t="s">
        <v>703</v>
      </c>
      <c r="C332" s="39" t="s">
        <v>691</v>
      </c>
      <c r="G332" s="39" t="s">
        <v>691</v>
      </c>
      <c r="H332" s="3">
        <f>IF(Sheet1!K340, 1, 0)
</f>
        <v>0</v>
      </c>
      <c r="I332" s="1" t="s">
        <v>692</v>
      </c>
      <c r="K332" s="39" t="s">
        <v>693</v>
      </c>
      <c r="M332" s="39" t="s">
        <v>693</v>
      </c>
    </row>
    <row r="333">
      <c r="A333" s="1" t="s">
        <v>703</v>
      </c>
      <c r="C333" s="39" t="s">
        <v>691</v>
      </c>
      <c r="G333" s="39" t="s">
        <v>691</v>
      </c>
      <c r="H333" s="3">
        <f>IF(Sheet1!K341, 1, 0)
</f>
        <v>0</v>
      </c>
      <c r="I333" s="1" t="s">
        <v>692</v>
      </c>
      <c r="K333" s="39" t="s">
        <v>693</v>
      </c>
      <c r="M333" s="39" t="s">
        <v>693</v>
      </c>
    </row>
    <row r="334">
      <c r="A334" s="1" t="s">
        <v>703</v>
      </c>
      <c r="C334" s="39" t="s">
        <v>691</v>
      </c>
      <c r="G334" s="39" t="s">
        <v>691</v>
      </c>
      <c r="H334" s="3">
        <f>IF(Sheet1!K342, 1, 0)
</f>
        <v>0</v>
      </c>
      <c r="I334" s="1" t="s">
        <v>692</v>
      </c>
      <c r="K334" s="39" t="s">
        <v>693</v>
      </c>
      <c r="M334" s="39" t="s">
        <v>693</v>
      </c>
    </row>
    <row r="335">
      <c r="A335" s="1" t="s">
        <v>703</v>
      </c>
      <c r="C335" s="39" t="s">
        <v>691</v>
      </c>
      <c r="G335" s="39" t="s">
        <v>691</v>
      </c>
      <c r="H335" s="3">
        <f>IF(Sheet1!K343, 1, 0)
</f>
        <v>0</v>
      </c>
      <c r="I335" s="1" t="s">
        <v>692</v>
      </c>
      <c r="K335" s="39" t="s">
        <v>693</v>
      </c>
      <c r="M335" s="39" t="s">
        <v>693</v>
      </c>
    </row>
    <row r="336">
      <c r="A336" s="1" t="s">
        <v>703</v>
      </c>
      <c r="C336" s="39" t="s">
        <v>691</v>
      </c>
      <c r="G336" s="39" t="s">
        <v>691</v>
      </c>
      <c r="H336" s="3">
        <f>IF(Sheet1!K344, 1, 0)
</f>
        <v>0</v>
      </c>
      <c r="I336" s="1" t="s">
        <v>692</v>
      </c>
      <c r="K336" s="39" t="s">
        <v>693</v>
      </c>
      <c r="M336" s="39" t="s">
        <v>693</v>
      </c>
    </row>
    <row r="337">
      <c r="A337" s="1" t="s">
        <v>703</v>
      </c>
      <c r="C337" s="39" t="s">
        <v>691</v>
      </c>
      <c r="G337" s="39" t="s">
        <v>691</v>
      </c>
      <c r="H337" s="3">
        <f>IF(Sheet1!K345, 1, 0)
</f>
        <v>0</v>
      </c>
      <c r="I337" s="1" t="s">
        <v>692</v>
      </c>
      <c r="K337" s="39" t="s">
        <v>693</v>
      </c>
      <c r="M337" s="39" t="s">
        <v>693</v>
      </c>
    </row>
    <row r="338">
      <c r="A338" s="1" t="s">
        <v>703</v>
      </c>
      <c r="C338" s="39" t="s">
        <v>691</v>
      </c>
      <c r="G338" s="39" t="s">
        <v>691</v>
      </c>
      <c r="H338" s="3">
        <f>IF(Sheet1!K346, 1, 0)
</f>
        <v>0</v>
      </c>
      <c r="I338" s="1" t="s">
        <v>692</v>
      </c>
      <c r="K338" s="39" t="s">
        <v>693</v>
      </c>
      <c r="M338" s="39" t="s">
        <v>693</v>
      </c>
    </row>
    <row r="339">
      <c r="A339" s="1" t="s">
        <v>703</v>
      </c>
      <c r="C339" s="39" t="s">
        <v>691</v>
      </c>
      <c r="G339" s="39" t="s">
        <v>691</v>
      </c>
      <c r="H339" s="3">
        <f>IF(Sheet1!K347, 1, 0)
</f>
        <v>0</v>
      </c>
      <c r="I339" s="1" t="s">
        <v>692</v>
      </c>
      <c r="K339" s="39" t="s">
        <v>693</v>
      </c>
      <c r="M339" s="39" t="s">
        <v>693</v>
      </c>
    </row>
    <row r="340">
      <c r="A340" s="1" t="s">
        <v>703</v>
      </c>
      <c r="C340" s="39" t="s">
        <v>691</v>
      </c>
      <c r="G340" s="39" t="s">
        <v>691</v>
      </c>
      <c r="H340" s="3">
        <f>IF(Sheet1!K348, 1, 0)
</f>
        <v>0</v>
      </c>
      <c r="I340" s="1" t="s">
        <v>692</v>
      </c>
      <c r="K340" s="39" t="s">
        <v>693</v>
      </c>
      <c r="M340" s="39" t="s">
        <v>693</v>
      </c>
    </row>
    <row r="341">
      <c r="A341" s="1" t="s">
        <v>703</v>
      </c>
      <c r="C341" s="39" t="s">
        <v>691</v>
      </c>
      <c r="G341" s="39" t="s">
        <v>691</v>
      </c>
      <c r="H341" s="3">
        <f>IF(Sheet1!K349, 1, 0)
</f>
        <v>0</v>
      </c>
      <c r="I341" s="1" t="s">
        <v>692</v>
      </c>
      <c r="K341" s="39" t="s">
        <v>693</v>
      </c>
      <c r="M341" s="39" t="s">
        <v>693</v>
      </c>
    </row>
    <row r="342">
      <c r="A342" s="1" t="s">
        <v>703</v>
      </c>
      <c r="C342" s="39" t="s">
        <v>691</v>
      </c>
      <c r="G342" s="39" t="s">
        <v>691</v>
      </c>
      <c r="H342" s="3">
        <f>IF(Sheet1!K350, 1, 0)
</f>
        <v>0</v>
      </c>
      <c r="I342" s="1" t="s">
        <v>692</v>
      </c>
      <c r="K342" s="39" t="s">
        <v>693</v>
      </c>
      <c r="M342" s="39" t="s">
        <v>693</v>
      </c>
    </row>
    <row r="343">
      <c r="A343" s="1" t="s">
        <v>703</v>
      </c>
      <c r="C343" s="39" t="s">
        <v>691</v>
      </c>
      <c r="G343" s="39" t="s">
        <v>691</v>
      </c>
      <c r="H343" s="3">
        <f>IF(Sheet1!K351, 1, 0)
</f>
        <v>0</v>
      </c>
      <c r="I343" s="1" t="s">
        <v>692</v>
      </c>
      <c r="K343" s="39" t="s">
        <v>693</v>
      </c>
      <c r="M343" s="39" t="s">
        <v>693</v>
      </c>
    </row>
    <row r="344">
      <c r="A344" s="1" t="s">
        <v>703</v>
      </c>
      <c r="C344" s="39" t="s">
        <v>691</v>
      </c>
      <c r="G344" s="39" t="s">
        <v>691</v>
      </c>
      <c r="H344" s="3">
        <f>IF(Sheet1!K352, 1, 0)
</f>
        <v>0</v>
      </c>
      <c r="I344" s="1" t="s">
        <v>692</v>
      </c>
      <c r="K344" s="39" t="s">
        <v>693</v>
      </c>
      <c r="M344" s="39" t="s">
        <v>693</v>
      </c>
    </row>
    <row r="345">
      <c r="A345" s="1" t="s">
        <v>703</v>
      </c>
      <c r="C345" s="39" t="s">
        <v>691</v>
      </c>
      <c r="G345" s="39" t="s">
        <v>691</v>
      </c>
      <c r="H345" s="3">
        <f>IF(Sheet1!K353, 1, 0)
</f>
        <v>0</v>
      </c>
      <c r="I345" s="1" t="s">
        <v>692</v>
      </c>
      <c r="K345" s="39" t="s">
        <v>693</v>
      </c>
      <c r="M345" s="39" t="s">
        <v>693</v>
      </c>
    </row>
    <row r="346">
      <c r="A346" s="1" t="s">
        <v>703</v>
      </c>
      <c r="C346" s="39" t="s">
        <v>691</v>
      </c>
      <c r="G346" s="39" t="s">
        <v>691</v>
      </c>
      <c r="H346" s="3">
        <f>IF(Sheet1!K354, 1, 0)
</f>
        <v>0</v>
      </c>
      <c r="I346" s="1" t="s">
        <v>692</v>
      </c>
      <c r="K346" s="39" t="s">
        <v>693</v>
      </c>
      <c r="M346" s="39" t="s">
        <v>693</v>
      </c>
    </row>
    <row r="347">
      <c r="A347" s="1" t="s">
        <v>703</v>
      </c>
      <c r="C347" s="39" t="s">
        <v>691</v>
      </c>
      <c r="G347" s="39" t="s">
        <v>691</v>
      </c>
      <c r="H347" s="3">
        <f>IF(Sheet1!K355, 1, 0)
</f>
        <v>0</v>
      </c>
      <c r="I347" s="1" t="s">
        <v>692</v>
      </c>
      <c r="K347" s="39" t="s">
        <v>693</v>
      </c>
      <c r="M347" s="39" t="s">
        <v>693</v>
      </c>
    </row>
    <row r="348">
      <c r="A348" s="1" t="s">
        <v>703</v>
      </c>
      <c r="C348" s="39" t="s">
        <v>691</v>
      </c>
      <c r="G348" s="39" t="s">
        <v>691</v>
      </c>
      <c r="H348" s="3">
        <f>IF(Sheet1!K356, 1, 0)
</f>
        <v>0</v>
      </c>
      <c r="I348" s="1" t="s">
        <v>692</v>
      </c>
      <c r="K348" s="39" t="s">
        <v>693</v>
      </c>
      <c r="M348" s="39" t="s">
        <v>693</v>
      </c>
    </row>
    <row r="349">
      <c r="A349" s="1" t="s">
        <v>703</v>
      </c>
      <c r="C349" s="39" t="s">
        <v>691</v>
      </c>
      <c r="G349" s="39" t="s">
        <v>691</v>
      </c>
      <c r="H349" s="3">
        <f>IF(Sheet1!K357, 1, 0)
</f>
        <v>0</v>
      </c>
      <c r="I349" s="1" t="s">
        <v>692</v>
      </c>
      <c r="K349" s="39" t="s">
        <v>693</v>
      </c>
      <c r="M349" s="39" t="s">
        <v>693</v>
      </c>
    </row>
    <row r="350">
      <c r="A350" s="1" t="s">
        <v>703</v>
      </c>
      <c r="C350" s="39" t="s">
        <v>691</v>
      </c>
      <c r="G350" s="39" t="s">
        <v>691</v>
      </c>
      <c r="H350" s="3">
        <f>IF(Sheet1!K358, 1, 0)
</f>
        <v>0</v>
      </c>
      <c r="I350" s="1" t="s">
        <v>692</v>
      </c>
      <c r="K350" s="39" t="s">
        <v>693</v>
      </c>
      <c r="M350" s="39" t="s">
        <v>693</v>
      </c>
    </row>
    <row r="351">
      <c r="A351" s="1" t="s">
        <v>703</v>
      </c>
      <c r="C351" s="39" t="s">
        <v>691</v>
      </c>
      <c r="G351" s="39" t="s">
        <v>691</v>
      </c>
      <c r="H351" s="3">
        <f>IF(Sheet1!K359, 1, 0)
</f>
        <v>0</v>
      </c>
      <c r="I351" s="1" t="s">
        <v>692</v>
      </c>
      <c r="K351" s="39" t="s">
        <v>693</v>
      </c>
      <c r="M351" s="39" t="s">
        <v>693</v>
      </c>
    </row>
    <row r="352">
      <c r="A352" s="1" t="s">
        <v>703</v>
      </c>
      <c r="C352" s="39" t="s">
        <v>691</v>
      </c>
      <c r="G352" s="39" t="s">
        <v>691</v>
      </c>
      <c r="H352" s="3">
        <f>IF(Sheet1!K360, 1, 0)
</f>
        <v>0</v>
      </c>
      <c r="I352" s="1" t="s">
        <v>692</v>
      </c>
      <c r="K352" s="39" t="s">
        <v>693</v>
      </c>
      <c r="M352" s="39" t="s">
        <v>693</v>
      </c>
    </row>
    <row r="353">
      <c r="A353" s="1" t="s">
        <v>703</v>
      </c>
      <c r="C353" s="39" t="s">
        <v>691</v>
      </c>
      <c r="G353" s="39" t="s">
        <v>691</v>
      </c>
      <c r="H353" s="3">
        <f>IF(Sheet1!K361, 1, 0)
</f>
        <v>0</v>
      </c>
      <c r="I353" s="1" t="s">
        <v>692</v>
      </c>
      <c r="K353" s="39" t="s">
        <v>693</v>
      </c>
      <c r="M353" s="39" t="s">
        <v>693</v>
      </c>
    </row>
    <row r="354">
      <c r="A354" s="1" t="s">
        <v>703</v>
      </c>
      <c r="C354" s="39" t="s">
        <v>691</v>
      </c>
      <c r="G354" s="39" t="s">
        <v>691</v>
      </c>
      <c r="H354" s="3">
        <f>IF(Sheet1!K362, 1, 0)
</f>
        <v>0</v>
      </c>
      <c r="I354" s="1" t="s">
        <v>692</v>
      </c>
      <c r="K354" s="39" t="s">
        <v>693</v>
      </c>
      <c r="M354" s="39" t="s">
        <v>693</v>
      </c>
    </row>
    <row r="355">
      <c r="A355" s="1" t="s">
        <v>703</v>
      </c>
      <c r="C355" s="39" t="s">
        <v>691</v>
      </c>
      <c r="G355" s="39" t="s">
        <v>691</v>
      </c>
      <c r="H355" s="3">
        <f>IF(Sheet1!K363, 1, 0)
</f>
        <v>0</v>
      </c>
      <c r="I355" s="1" t="s">
        <v>692</v>
      </c>
      <c r="K355" s="39" t="s">
        <v>693</v>
      </c>
      <c r="M355" s="39" t="s">
        <v>693</v>
      </c>
    </row>
    <row r="356">
      <c r="A356" s="1" t="s">
        <v>703</v>
      </c>
      <c r="C356" s="39" t="s">
        <v>691</v>
      </c>
      <c r="G356" s="39" t="s">
        <v>691</v>
      </c>
      <c r="H356" s="3">
        <f>IF(Sheet1!K364, 1, 0)
</f>
        <v>0</v>
      </c>
      <c r="I356" s="1" t="s">
        <v>692</v>
      </c>
      <c r="K356" s="39" t="s">
        <v>693</v>
      </c>
      <c r="M356" s="39" t="s">
        <v>693</v>
      </c>
    </row>
    <row r="357">
      <c r="A357" s="1" t="s">
        <v>703</v>
      </c>
      <c r="C357" s="39" t="s">
        <v>691</v>
      </c>
      <c r="G357" s="39" t="s">
        <v>691</v>
      </c>
      <c r="H357" s="3">
        <f>IF(Sheet1!K365, 1, 0)
</f>
        <v>0</v>
      </c>
      <c r="I357" s="1" t="s">
        <v>692</v>
      </c>
      <c r="K357" s="39" t="s">
        <v>693</v>
      </c>
      <c r="M357" s="39" t="s">
        <v>693</v>
      </c>
    </row>
    <row r="358">
      <c r="A358" s="1" t="s">
        <v>703</v>
      </c>
      <c r="C358" s="39" t="s">
        <v>691</v>
      </c>
      <c r="G358" s="39" t="s">
        <v>691</v>
      </c>
      <c r="H358" s="3">
        <f>IF(Sheet1!K366, 1, 0)
</f>
        <v>0</v>
      </c>
      <c r="I358" s="1" t="s">
        <v>692</v>
      </c>
      <c r="K358" s="39" t="s">
        <v>693</v>
      </c>
      <c r="M358" s="39" t="s">
        <v>693</v>
      </c>
    </row>
    <row r="359">
      <c r="A359" s="1" t="s">
        <v>703</v>
      </c>
      <c r="C359" s="39" t="s">
        <v>691</v>
      </c>
      <c r="G359" s="39" t="s">
        <v>691</v>
      </c>
      <c r="H359" s="3">
        <f>IF(Sheet1!K367, 1, 0)
</f>
        <v>0</v>
      </c>
      <c r="I359" s="1" t="s">
        <v>692</v>
      </c>
      <c r="K359" s="39" t="s">
        <v>693</v>
      </c>
      <c r="M359" s="39" t="s">
        <v>693</v>
      </c>
    </row>
    <row r="360">
      <c r="A360" s="1" t="s">
        <v>703</v>
      </c>
      <c r="C360" s="39" t="s">
        <v>691</v>
      </c>
      <c r="G360" s="39" t="s">
        <v>691</v>
      </c>
      <c r="H360" s="3">
        <f>IF(Sheet1!K368, 1, 0)
</f>
        <v>0</v>
      </c>
      <c r="I360" s="1" t="s">
        <v>692</v>
      </c>
      <c r="K360" s="39" t="s">
        <v>693</v>
      </c>
      <c r="M360" s="39" t="s">
        <v>693</v>
      </c>
    </row>
    <row r="361">
      <c r="A361" s="1" t="s">
        <v>703</v>
      </c>
      <c r="C361" s="39" t="s">
        <v>691</v>
      </c>
      <c r="G361" s="39" t="s">
        <v>691</v>
      </c>
      <c r="H361" s="3">
        <f>IF(Sheet1!K369, 1, 0)
</f>
        <v>0</v>
      </c>
      <c r="I361" s="1" t="s">
        <v>692</v>
      </c>
      <c r="K361" s="39" t="s">
        <v>693</v>
      </c>
      <c r="M361" s="39" t="s">
        <v>693</v>
      </c>
    </row>
    <row r="362">
      <c r="A362" s="1" t="s">
        <v>703</v>
      </c>
      <c r="C362" s="39" t="s">
        <v>691</v>
      </c>
      <c r="G362" s="39" t="s">
        <v>691</v>
      </c>
      <c r="H362" s="3">
        <f>IF(Sheet1!K370, 1, 0)
</f>
        <v>0</v>
      </c>
      <c r="I362" s="1" t="s">
        <v>692</v>
      </c>
      <c r="K362" s="39" t="s">
        <v>693</v>
      </c>
      <c r="M362" s="39" t="s">
        <v>693</v>
      </c>
    </row>
    <row r="363">
      <c r="A363" s="1" t="s">
        <v>703</v>
      </c>
      <c r="C363" s="39" t="s">
        <v>691</v>
      </c>
      <c r="G363" s="39" t="s">
        <v>691</v>
      </c>
      <c r="H363" s="3">
        <f>IF(Sheet1!K371, 1, 0)
</f>
        <v>0</v>
      </c>
      <c r="I363" s="1" t="s">
        <v>692</v>
      </c>
      <c r="K363" s="39" t="s">
        <v>693</v>
      </c>
      <c r="M363" s="39" t="s">
        <v>693</v>
      </c>
    </row>
    <row r="364">
      <c r="A364" s="1" t="s">
        <v>703</v>
      </c>
      <c r="C364" s="39" t="s">
        <v>691</v>
      </c>
      <c r="G364" s="39" t="s">
        <v>691</v>
      </c>
      <c r="H364" s="3">
        <f>IF(Sheet1!K372, 1, 0)
</f>
        <v>0</v>
      </c>
      <c r="I364" s="1" t="s">
        <v>692</v>
      </c>
      <c r="K364" s="39" t="s">
        <v>693</v>
      </c>
      <c r="M364" s="39" t="s">
        <v>693</v>
      </c>
    </row>
    <row r="365">
      <c r="A365" s="1" t="s">
        <v>703</v>
      </c>
      <c r="C365" s="39" t="s">
        <v>691</v>
      </c>
      <c r="G365" s="39" t="s">
        <v>691</v>
      </c>
      <c r="H365" s="3">
        <f>IF(Sheet1!K373, 1, 0)
</f>
        <v>0</v>
      </c>
      <c r="I365" s="1" t="s">
        <v>692</v>
      </c>
      <c r="K365" s="39" t="s">
        <v>693</v>
      </c>
      <c r="M365" s="39" t="s">
        <v>693</v>
      </c>
    </row>
    <row r="366">
      <c r="A366" s="1" t="s">
        <v>703</v>
      </c>
      <c r="C366" s="39" t="s">
        <v>691</v>
      </c>
      <c r="G366" s="39" t="s">
        <v>691</v>
      </c>
      <c r="H366" s="3">
        <f>IF(Sheet1!K374, 1, 0)
</f>
        <v>0</v>
      </c>
      <c r="I366" s="1" t="s">
        <v>692</v>
      </c>
      <c r="K366" s="39" t="s">
        <v>693</v>
      </c>
      <c r="M366" s="39" t="s">
        <v>693</v>
      </c>
    </row>
    <row r="367">
      <c r="A367" s="1" t="s">
        <v>703</v>
      </c>
      <c r="C367" s="39" t="s">
        <v>691</v>
      </c>
      <c r="G367" s="39" t="s">
        <v>691</v>
      </c>
      <c r="H367" s="3">
        <f>IF(Sheet1!K375, 1, 0)
</f>
        <v>0</v>
      </c>
      <c r="I367" s="1" t="s">
        <v>692</v>
      </c>
      <c r="K367" s="39" t="s">
        <v>693</v>
      </c>
      <c r="M367" s="39" t="s">
        <v>693</v>
      </c>
    </row>
    <row r="368">
      <c r="A368" s="1" t="s">
        <v>703</v>
      </c>
      <c r="C368" s="39" t="s">
        <v>691</v>
      </c>
      <c r="G368" s="39" t="s">
        <v>691</v>
      </c>
      <c r="H368" s="3">
        <f>IF(Sheet1!K376, 1, 0)
</f>
        <v>0</v>
      </c>
      <c r="I368" s="1" t="s">
        <v>692</v>
      </c>
      <c r="K368" s="39" t="s">
        <v>693</v>
      </c>
      <c r="M368" s="39" t="s">
        <v>693</v>
      </c>
    </row>
    <row r="369">
      <c r="A369" s="1" t="s">
        <v>703</v>
      </c>
      <c r="C369" s="39" t="s">
        <v>691</v>
      </c>
      <c r="G369" s="39" t="s">
        <v>691</v>
      </c>
      <c r="H369" s="3">
        <f>IF(Sheet1!K377, 1, 0)
</f>
        <v>0</v>
      </c>
      <c r="I369" s="1" t="s">
        <v>692</v>
      </c>
      <c r="K369" s="39" t="s">
        <v>693</v>
      </c>
      <c r="M369" s="39" t="s">
        <v>693</v>
      </c>
    </row>
    <row r="370">
      <c r="A370" s="1" t="s">
        <v>703</v>
      </c>
      <c r="C370" s="39" t="s">
        <v>691</v>
      </c>
      <c r="G370" s="39" t="s">
        <v>691</v>
      </c>
      <c r="H370" s="3">
        <f>IF(Sheet1!K378, 1, 0)
</f>
        <v>0</v>
      </c>
      <c r="I370" s="1" t="s">
        <v>692</v>
      </c>
      <c r="K370" s="39" t="s">
        <v>693</v>
      </c>
      <c r="M370" s="39" t="s">
        <v>693</v>
      </c>
    </row>
    <row r="371">
      <c r="A371" s="1" t="s">
        <v>703</v>
      </c>
      <c r="C371" s="39" t="s">
        <v>691</v>
      </c>
      <c r="G371" s="39" t="s">
        <v>691</v>
      </c>
      <c r="H371" s="3">
        <f>IF(Sheet1!K379, 1, 0)
</f>
        <v>0</v>
      </c>
      <c r="I371" s="1" t="s">
        <v>692</v>
      </c>
      <c r="K371" s="39" t="s">
        <v>693</v>
      </c>
      <c r="M371" s="39" t="s">
        <v>693</v>
      </c>
    </row>
    <row r="372">
      <c r="A372" s="1" t="s">
        <v>703</v>
      </c>
      <c r="C372" s="39" t="s">
        <v>691</v>
      </c>
      <c r="G372" s="39" t="s">
        <v>691</v>
      </c>
      <c r="H372" s="3">
        <f>IF(Sheet1!K380, 1, 0)
</f>
        <v>0</v>
      </c>
      <c r="I372" s="1" t="s">
        <v>692</v>
      </c>
      <c r="K372" s="39" t="s">
        <v>693</v>
      </c>
      <c r="M372" s="39" t="s">
        <v>693</v>
      </c>
    </row>
    <row r="373">
      <c r="A373" s="1" t="s">
        <v>703</v>
      </c>
      <c r="C373" s="39" t="s">
        <v>691</v>
      </c>
      <c r="G373" s="39" t="s">
        <v>691</v>
      </c>
      <c r="H373" s="3">
        <f>IF(Sheet1!K381, 1, 0)
</f>
        <v>0</v>
      </c>
      <c r="I373" s="1" t="s">
        <v>692</v>
      </c>
      <c r="K373" s="39" t="s">
        <v>693</v>
      </c>
      <c r="M373" s="39" t="s">
        <v>693</v>
      </c>
    </row>
    <row r="374">
      <c r="A374" s="1" t="s">
        <v>703</v>
      </c>
      <c r="C374" s="39" t="s">
        <v>691</v>
      </c>
      <c r="G374" s="39" t="s">
        <v>691</v>
      </c>
      <c r="H374" s="3">
        <f>IF(Sheet1!K382, 1, 0)
</f>
        <v>0</v>
      </c>
      <c r="I374" s="1" t="s">
        <v>692</v>
      </c>
      <c r="K374" s="39" t="s">
        <v>693</v>
      </c>
      <c r="M374" s="39" t="s">
        <v>693</v>
      </c>
    </row>
    <row r="375">
      <c r="A375" s="1" t="s">
        <v>703</v>
      </c>
      <c r="C375" s="39" t="s">
        <v>691</v>
      </c>
      <c r="G375" s="39" t="s">
        <v>691</v>
      </c>
      <c r="H375" s="3">
        <f>IF(Sheet1!K383, 1, 0)
</f>
        <v>0</v>
      </c>
      <c r="I375" s="1" t="s">
        <v>692</v>
      </c>
      <c r="K375" s="39" t="s">
        <v>693</v>
      </c>
      <c r="M375" s="39" t="s">
        <v>693</v>
      </c>
    </row>
    <row r="376">
      <c r="A376" s="1" t="s">
        <v>703</v>
      </c>
      <c r="C376" s="39" t="s">
        <v>691</v>
      </c>
      <c r="G376" s="39" t="s">
        <v>691</v>
      </c>
      <c r="H376" s="3">
        <f>IF(Sheet1!K384, 1, 0)
</f>
        <v>0</v>
      </c>
      <c r="I376" s="1" t="s">
        <v>692</v>
      </c>
      <c r="K376" s="39" t="s">
        <v>693</v>
      </c>
      <c r="M376" s="39" t="s">
        <v>693</v>
      </c>
    </row>
    <row r="377">
      <c r="A377" s="1" t="s">
        <v>703</v>
      </c>
      <c r="C377" s="39" t="s">
        <v>691</v>
      </c>
      <c r="G377" s="39" t="s">
        <v>691</v>
      </c>
      <c r="H377" s="3">
        <f>IF(Sheet1!K385, 1, 0)
</f>
        <v>0</v>
      </c>
      <c r="I377" s="1" t="s">
        <v>692</v>
      </c>
      <c r="K377" s="39" t="s">
        <v>693</v>
      </c>
      <c r="M377" s="39" t="s">
        <v>693</v>
      </c>
    </row>
    <row r="378">
      <c r="A378" s="1" t="s">
        <v>703</v>
      </c>
      <c r="C378" s="39" t="s">
        <v>691</v>
      </c>
      <c r="G378" s="39" t="s">
        <v>691</v>
      </c>
      <c r="H378" s="3">
        <f>IF(Sheet1!K386, 1, 0)
</f>
        <v>0</v>
      </c>
      <c r="I378" s="1" t="s">
        <v>692</v>
      </c>
      <c r="K378" s="39" t="s">
        <v>693</v>
      </c>
      <c r="M378" s="39" t="s">
        <v>693</v>
      </c>
    </row>
    <row r="379">
      <c r="A379" s="1" t="s">
        <v>703</v>
      </c>
      <c r="C379" s="39" t="s">
        <v>691</v>
      </c>
      <c r="G379" s="39" t="s">
        <v>691</v>
      </c>
      <c r="H379" s="3">
        <f>IF(Sheet1!K387, 1, 0)
</f>
        <v>0</v>
      </c>
      <c r="I379" s="1" t="s">
        <v>692</v>
      </c>
      <c r="K379" s="39" t="s">
        <v>693</v>
      </c>
      <c r="M379" s="39" t="s">
        <v>693</v>
      </c>
    </row>
    <row r="380">
      <c r="A380" s="1" t="s">
        <v>703</v>
      </c>
      <c r="C380" s="39" t="s">
        <v>691</v>
      </c>
      <c r="G380" s="39" t="s">
        <v>691</v>
      </c>
      <c r="H380" s="3">
        <f>IF(Sheet1!K388, 1, 0)
</f>
        <v>0</v>
      </c>
      <c r="I380" s="1" t="s">
        <v>692</v>
      </c>
      <c r="K380" s="39" t="s">
        <v>693</v>
      </c>
      <c r="M380" s="39" t="s">
        <v>693</v>
      </c>
    </row>
    <row r="381">
      <c r="A381" s="1" t="s">
        <v>703</v>
      </c>
      <c r="C381" s="39" t="s">
        <v>691</v>
      </c>
      <c r="G381" s="39" t="s">
        <v>691</v>
      </c>
      <c r="H381" s="3">
        <f>IF(Sheet1!K389, 1, 0)
</f>
        <v>0</v>
      </c>
      <c r="I381" s="1" t="s">
        <v>692</v>
      </c>
      <c r="K381" s="39" t="s">
        <v>693</v>
      </c>
      <c r="M381" s="39" t="s">
        <v>693</v>
      </c>
    </row>
    <row r="382">
      <c r="A382" s="1" t="s">
        <v>703</v>
      </c>
      <c r="C382" s="39" t="s">
        <v>691</v>
      </c>
      <c r="G382" s="39" t="s">
        <v>691</v>
      </c>
      <c r="H382" s="3">
        <f>IF(Sheet1!K390, 1, 0)
</f>
        <v>0</v>
      </c>
      <c r="I382" s="1" t="s">
        <v>692</v>
      </c>
      <c r="K382" s="39" t="s">
        <v>693</v>
      </c>
      <c r="M382" s="39" t="s">
        <v>693</v>
      </c>
    </row>
    <row r="383">
      <c r="A383" s="1" t="s">
        <v>703</v>
      </c>
      <c r="C383" s="39" t="s">
        <v>691</v>
      </c>
      <c r="G383" s="39" t="s">
        <v>691</v>
      </c>
      <c r="H383" s="3">
        <f>IF(Sheet1!K391, 1, 0)
</f>
        <v>0</v>
      </c>
      <c r="I383" s="1" t="s">
        <v>692</v>
      </c>
      <c r="K383" s="39" t="s">
        <v>693</v>
      </c>
      <c r="M383" s="39" t="s">
        <v>693</v>
      </c>
    </row>
    <row r="384">
      <c r="A384" s="1" t="s">
        <v>703</v>
      </c>
      <c r="C384" s="39" t="s">
        <v>691</v>
      </c>
      <c r="G384" s="39" t="s">
        <v>691</v>
      </c>
      <c r="H384" s="3">
        <f>IF(Sheet1!K392, 1, 0)
</f>
        <v>0</v>
      </c>
      <c r="I384" s="1" t="s">
        <v>692</v>
      </c>
      <c r="K384" s="39" t="s">
        <v>693</v>
      </c>
      <c r="M384" s="39" t="s">
        <v>693</v>
      </c>
    </row>
    <row r="385">
      <c r="A385" s="1" t="s">
        <v>703</v>
      </c>
      <c r="C385" s="39" t="s">
        <v>691</v>
      </c>
      <c r="G385" s="39" t="s">
        <v>691</v>
      </c>
      <c r="H385" s="3">
        <f>IF(Sheet1!K393, 1, 0)
</f>
        <v>0</v>
      </c>
      <c r="I385" s="1" t="s">
        <v>692</v>
      </c>
      <c r="K385" s="39" t="s">
        <v>693</v>
      </c>
      <c r="M385" s="39" t="s">
        <v>693</v>
      </c>
    </row>
    <row r="386">
      <c r="A386" s="1" t="s">
        <v>703</v>
      </c>
      <c r="C386" s="39" t="s">
        <v>691</v>
      </c>
      <c r="G386" s="39" t="s">
        <v>691</v>
      </c>
      <c r="H386" s="3">
        <f>IF(Sheet1!K394, 1, 0)
</f>
        <v>0</v>
      </c>
      <c r="I386" s="1" t="s">
        <v>692</v>
      </c>
      <c r="K386" s="39" t="s">
        <v>693</v>
      </c>
      <c r="M386" s="39" t="s">
        <v>693</v>
      </c>
    </row>
    <row r="387">
      <c r="A387" s="1" t="s">
        <v>703</v>
      </c>
      <c r="C387" s="39" t="s">
        <v>691</v>
      </c>
      <c r="G387" s="39" t="s">
        <v>691</v>
      </c>
      <c r="H387" s="3">
        <f>IF(Sheet1!K395, 1, 0)
</f>
        <v>0</v>
      </c>
      <c r="I387" s="1" t="s">
        <v>692</v>
      </c>
      <c r="K387" s="39" t="s">
        <v>693</v>
      </c>
      <c r="M387" s="39" t="s">
        <v>693</v>
      </c>
    </row>
    <row r="388">
      <c r="A388" s="1" t="s">
        <v>703</v>
      </c>
      <c r="C388" s="39" t="s">
        <v>691</v>
      </c>
      <c r="G388" s="39" t="s">
        <v>691</v>
      </c>
      <c r="H388" s="3">
        <f>IF(Sheet1!K396, 1, 0)
</f>
        <v>0</v>
      </c>
      <c r="I388" s="1" t="s">
        <v>692</v>
      </c>
      <c r="K388" s="39" t="s">
        <v>693</v>
      </c>
      <c r="M388" s="39" t="s">
        <v>693</v>
      </c>
    </row>
    <row r="389">
      <c r="A389" s="1" t="s">
        <v>703</v>
      </c>
      <c r="C389" s="39" t="s">
        <v>691</v>
      </c>
      <c r="G389" s="39" t="s">
        <v>691</v>
      </c>
      <c r="H389" s="3">
        <f>IF(Sheet1!K397, 1, 0)
</f>
        <v>0</v>
      </c>
      <c r="I389" s="1" t="s">
        <v>692</v>
      </c>
      <c r="K389" s="39" t="s">
        <v>693</v>
      </c>
      <c r="M389" s="39" t="s">
        <v>693</v>
      </c>
    </row>
    <row r="390">
      <c r="A390" s="1" t="s">
        <v>703</v>
      </c>
      <c r="C390" s="39" t="s">
        <v>691</v>
      </c>
      <c r="G390" s="39" t="s">
        <v>691</v>
      </c>
      <c r="H390" s="3">
        <f>IF(Sheet1!K398, 1, 0)
</f>
        <v>0</v>
      </c>
      <c r="I390" s="1" t="s">
        <v>692</v>
      </c>
      <c r="K390" s="39" t="s">
        <v>693</v>
      </c>
      <c r="M390" s="39" t="s">
        <v>693</v>
      </c>
    </row>
    <row r="391">
      <c r="A391" s="1" t="s">
        <v>703</v>
      </c>
      <c r="C391" s="39" t="s">
        <v>691</v>
      </c>
      <c r="G391" s="39" t="s">
        <v>691</v>
      </c>
      <c r="H391" s="3">
        <f>IF(Sheet1!K399, 1, 0)
</f>
        <v>0</v>
      </c>
      <c r="I391" s="1" t="s">
        <v>692</v>
      </c>
      <c r="K391" s="39" t="s">
        <v>693</v>
      </c>
      <c r="M391" s="39" t="s">
        <v>693</v>
      </c>
    </row>
    <row r="392">
      <c r="A392" s="1" t="s">
        <v>703</v>
      </c>
      <c r="C392" s="39" t="s">
        <v>691</v>
      </c>
      <c r="G392" s="39" t="s">
        <v>691</v>
      </c>
      <c r="H392" s="3">
        <f>IF(Sheet1!K400, 1, 0)
</f>
        <v>0</v>
      </c>
      <c r="I392" s="1" t="s">
        <v>692</v>
      </c>
      <c r="K392" s="39" t="s">
        <v>693</v>
      </c>
      <c r="M392" s="39" t="s">
        <v>693</v>
      </c>
    </row>
    <row r="393">
      <c r="A393" s="1" t="s">
        <v>703</v>
      </c>
      <c r="C393" s="39" t="s">
        <v>691</v>
      </c>
      <c r="G393" s="39" t="s">
        <v>691</v>
      </c>
      <c r="H393" s="3">
        <f>IF(Sheet1!K401, 1, 0)
</f>
        <v>0</v>
      </c>
      <c r="I393" s="1" t="s">
        <v>692</v>
      </c>
      <c r="K393" s="39" t="s">
        <v>693</v>
      </c>
      <c r="M393" s="39" t="s">
        <v>693</v>
      </c>
    </row>
    <row r="394">
      <c r="A394" s="1" t="s">
        <v>703</v>
      </c>
      <c r="C394" s="39" t="s">
        <v>691</v>
      </c>
      <c r="G394" s="39" t="s">
        <v>691</v>
      </c>
      <c r="H394" s="3">
        <f>IF(Sheet1!K402, 1, 0)
</f>
        <v>0</v>
      </c>
      <c r="I394" s="1" t="s">
        <v>692</v>
      </c>
      <c r="K394" s="39" t="s">
        <v>693</v>
      </c>
      <c r="M394" s="39" t="s">
        <v>693</v>
      </c>
    </row>
    <row r="395">
      <c r="A395" s="1" t="s">
        <v>703</v>
      </c>
      <c r="C395" s="39" t="s">
        <v>691</v>
      </c>
      <c r="G395" s="39" t="s">
        <v>691</v>
      </c>
      <c r="H395" s="3">
        <f>IF(Sheet1!K403, 1, 0)
</f>
        <v>0</v>
      </c>
      <c r="I395" s="1" t="s">
        <v>692</v>
      </c>
      <c r="K395" s="39" t="s">
        <v>693</v>
      </c>
      <c r="M395" s="39" t="s">
        <v>693</v>
      </c>
    </row>
    <row r="396">
      <c r="A396" s="1" t="s">
        <v>703</v>
      </c>
      <c r="C396" s="39" t="s">
        <v>691</v>
      </c>
      <c r="G396" s="39" t="s">
        <v>691</v>
      </c>
      <c r="H396" s="3">
        <f>IF(Sheet1!K404, 1, 0)
</f>
        <v>0</v>
      </c>
      <c r="I396" s="1" t="s">
        <v>692</v>
      </c>
      <c r="K396" s="39" t="s">
        <v>693</v>
      </c>
      <c r="M396" s="39" t="s">
        <v>693</v>
      </c>
    </row>
    <row r="397">
      <c r="A397" s="1" t="s">
        <v>703</v>
      </c>
      <c r="C397" s="39" t="s">
        <v>691</v>
      </c>
      <c r="G397" s="39" t="s">
        <v>691</v>
      </c>
      <c r="H397" s="3">
        <f>IF(Sheet1!K405, 1, 0)
</f>
        <v>0</v>
      </c>
      <c r="I397" s="1" t="s">
        <v>692</v>
      </c>
      <c r="K397" s="39" t="s">
        <v>693</v>
      </c>
      <c r="M397" s="39" t="s">
        <v>693</v>
      </c>
    </row>
    <row r="398">
      <c r="A398" s="1" t="s">
        <v>703</v>
      </c>
      <c r="C398" s="39" t="s">
        <v>691</v>
      </c>
      <c r="G398" s="39" t="s">
        <v>691</v>
      </c>
      <c r="H398" s="3">
        <f>IF(Sheet1!K406, 1, 0)
</f>
        <v>0</v>
      </c>
      <c r="I398" s="1" t="s">
        <v>692</v>
      </c>
      <c r="K398" s="39" t="s">
        <v>693</v>
      </c>
      <c r="M398" s="39" t="s">
        <v>693</v>
      </c>
    </row>
    <row r="399">
      <c r="A399" s="1" t="s">
        <v>703</v>
      </c>
      <c r="C399" s="39" t="s">
        <v>691</v>
      </c>
      <c r="G399" s="39" t="s">
        <v>691</v>
      </c>
      <c r="H399" s="3">
        <f>IF(Sheet1!K407, 1, 0)
</f>
        <v>0</v>
      </c>
      <c r="I399" s="1" t="s">
        <v>692</v>
      </c>
      <c r="K399" s="39" t="s">
        <v>693</v>
      </c>
      <c r="M399" s="39" t="s">
        <v>693</v>
      </c>
    </row>
    <row r="400">
      <c r="A400" s="1" t="s">
        <v>703</v>
      </c>
      <c r="C400" s="39" t="s">
        <v>691</v>
      </c>
      <c r="G400" s="39" t="s">
        <v>691</v>
      </c>
      <c r="H400" s="3">
        <f>IF(Sheet1!K408, 1, 0)
</f>
        <v>0</v>
      </c>
      <c r="I400" s="1" t="s">
        <v>692</v>
      </c>
      <c r="K400" s="39" t="s">
        <v>693</v>
      </c>
      <c r="M400" s="39" t="s">
        <v>693</v>
      </c>
    </row>
    <row r="401">
      <c r="A401" s="1" t="s">
        <v>703</v>
      </c>
      <c r="C401" s="39" t="s">
        <v>691</v>
      </c>
      <c r="G401" s="39" t="s">
        <v>691</v>
      </c>
      <c r="H401" s="3">
        <f>IF(Sheet1!K409, 1, 0)
</f>
        <v>0</v>
      </c>
      <c r="I401" s="1" t="s">
        <v>692</v>
      </c>
      <c r="K401" s="39" t="s">
        <v>693</v>
      </c>
      <c r="M401" s="39" t="s">
        <v>693</v>
      </c>
    </row>
    <row r="402">
      <c r="A402" s="1" t="s">
        <v>703</v>
      </c>
      <c r="C402" s="39" t="s">
        <v>691</v>
      </c>
      <c r="G402" s="39" t="s">
        <v>691</v>
      </c>
      <c r="H402" s="3">
        <f>IF(Sheet1!K410, 1, 0)
</f>
        <v>0</v>
      </c>
      <c r="I402" s="1" t="s">
        <v>692</v>
      </c>
      <c r="K402" s="39" t="s">
        <v>693</v>
      </c>
      <c r="M402" s="39" t="s">
        <v>693</v>
      </c>
    </row>
    <row r="403">
      <c r="A403" s="1" t="s">
        <v>703</v>
      </c>
      <c r="C403" s="39" t="s">
        <v>691</v>
      </c>
      <c r="G403" s="39" t="s">
        <v>691</v>
      </c>
      <c r="H403" s="3">
        <f>IF(Sheet1!K411, 1, 0)
</f>
        <v>0</v>
      </c>
      <c r="I403" s="1" t="s">
        <v>692</v>
      </c>
      <c r="K403" s="39" t="s">
        <v>693</v>
      </c>
      <c r="M403" s="39" t="s">
        <v>693</v>
      </c>
    </row>
    <row r="404">
      <c r="A404" s="1" t="s">
        <v>703</v>
      </c>
      <c r="C404" s="39" t="s">
        <v>691</v>
      </c>
      <c r="G404" s="39" t="s">
        <v>691</v>
      </c>
      <c r="H404" s="3">
        <f>IF(Sheet1!K412, 1, 0)
</f>
        <v>0</v>
      </c>
      <c r="I404" s="1" t="s">
        <v>692</v>
      </c>
      <c r="K404" s="39" t="s">
        <v>693</v>
      </c>
      <c r="M404" s="39" t="s">
        <v>693</v>
      </c>
    </row>
    <row r="405">
      <c r="A405" s="1" t="s">
        <v>703</v>
      </c>
      <c r="C405" s="39" t="s">
        <v>691</v>
      </c>
      <c r="G405" s="39" t="s">
        <v>691</v>
      </c>
      <c r="H405" s="3">
        <f>IF(Sheet1!K413, 1, 0)
</f>
        <v>0</v>
      </c>
      <c r="I405" s="1" t="s">
        <v>692</v>
      </c>
      <c r="K405" s="39" t="s">
        <v>693</v>
      </c>
      <c r="M405" s="39" t="s">
        <v>693</v>
      </c>
    </row>
    <row r="406">
      <c r="A406" s="1" t="s">
        <v>703</v>
      </c>
      <c r="C406" s="39" t="s">
        <v>691</v>
      </c>
      <c r="G406" s="39" t="s">
        <v>691</v>
      </c>
      <c r="H406" s="3">
        <f>IF(Sheet1!K414, 1, 0)
</f>
        <v>0</v>
      </c>
      <c r="I406" s="1" t="s">
        <v>692</v>
      </c>
      <c r="K406" s="39" t="s">
        <v>693</v>
      </c>
      <c r="M406" s="39" t="s">
        <v>693</v>
      </c>
    </row>
    <row r="407">
      <c r="A407" s="1" t="s">
        <v>703</v>
      </c>
      <c r="C407" s="39" t="s">
        <v>691</v>
      </c>
      <c r="G407" s="39" t="s">
        <v>691</v>
      </c>
      <c r="H407" s="3">
        <f>IF(Sheet1!K415, 1, 0)
</f>
        <v>0</v>
      </c>
      <c r="I407" s="1" t="s">
        <v>692</v>
      </c>
      <c r="K407" s="39" t="s">
        <v>693</v>
      </c>
      <c r="M407" s="39" t="s">
        <v>693</v>
      </c>
    </row>
    <row r="408">
      <c r="A408" s="1" t="s">
        <v>703</v>
      </c>
      <c r="C408" s="39" t="s">
        <v>691</v>
      </c>
      <c r="G408" s="39" t="s">
        <v>691</v>
      </c>
      <c r="H408" s="3">
        <f>IF(Sheet1!K416, 1, 0)
</f>
        <v>0</v>
      </c>
      <c r="I408" s="1" t="s">
        <v>692</v>
      </c>
      <c r="K408" s="39" t="s">
        <v>693</v>
      </c>
      <c r="M408" s="39" t="s">
        <v>693</v>
      </c>
    </row>
    <row r="409">
      <c r="A409" s="1" t="s">
        <v>703</v>
      </c>
      <c r="C409" s="39" t="s">
        <v>691</v>
      </c>
      <c r="G409" s="39" t="s">
        <v>691</v>
      </c>
      <c r="H409" s="3">
        <f>IF(Sheet1!K417, 1, 0)
</f>
        <v>0</v>
      </c>
      <c r="I409" s="1" t="s">
        <v>692</v>
      </c>
      <c r="K409" s="39" t="s">
        <v>693</v>
      </c>
      <c r="M409" s="39" t="s">
        <v>693</v>
      </c>
    </row>
    <row r="410">
      <c r="A410" s="1" t="s">
        <v>703</v>
      </c>
      <c r="C410" s="39" t="s">
        <v>691</v>
      </c>
      <c r="G410" s="39" t="s">
        <v>691</v>
      </c>
      <c r="H410" s="3">
        <f>IF(Sheet1!K418, 1, 0)
</f>
        <v>0</v>
      </c>
      <c r="I410" s="1" t="s">
        <v>692</v>
      </c>
      <c r="K410" s="39" t="s">
        <v>693</v>
      </c>
      <c r="M410" s="39" t="s">
        <v>693</v>
      </c>
    </row>
    <row r="411">
      <c r="A411" s="1" t="s">
        <v>703</v>
      </c>
      <c r="C411" s="39" t="s">
        <v>691</v>
      </c>
      <c r="G411" s="39" t="s">
        <v>691</v>
      </c>
      <c r="H411" s="3">
        <f>IF(Sheet1!K419, 1, 0)
</f>
        <v>0</v>
      </c>
      <c r="I411" s="1" t="s">
        <v>692</v>
      </c>
      <c r="K411" s="39" t="s">
        <v>693</v>
      </c>
      <c r="M411" s="39" t="s">
        <v>693</v>
      </c>
    </row>
    <row r="412">
      <c r="A412" s="1" t="s">
        <v>703</v>
      </c>
      <c r="C412" s="39" t="s">
        <v>691</v>
      </c>
      <c r="G412" s="39" t="s">
        <v>691</v>
      </c>
      <c r="H412" s="3">
        <f>IF(Sheet1!K420, 1, 0)
</f>
        <v>0</v>
      </c>
      <c r="I412" s="1" t="s">
        <v>692</v>
      </c>
      <c r="K412" s="39" t="s">
        <v>693</v>
      </c>
      <c r="M412" s="39" t="s">
        <v>693</v>
      </c>
    </row>
    <row r="413">
      <c r="A413" s="1" t="s">
        <v>703</v>
      </c>
      <c r="C413" s="39" t="s">
        <v>691</v>
      </c>
      <c r="G413" s="39" t="s">
        <v>691</v>
      </c>
      <c r="H413" s="3">
        <f>IF(Sheet1!K421, 1, 0)
</f>
        <v>0</v>
      </c>
      <c r="I413" s="1" t="s">
        <v>692</v>
      </c>
      <c r="K413" s="39" t="s">
        <v>693</v>
      </c>
      <c r="M413" s="39" t="s">
        <v>693</v>
      </c>
    </row>
    <row r="414">
      <c r="A414" s="1" t="s">
        <v>703</v>
      </c>
      <c r="C414" s="39" t="s">
        <v>691</v>
      </c>
      <c r="G414" s="39" t="s">
        <v>691</v>
      </c>
      <c r="H414" s="3">
        <f>IF(Sheet1!K422, 1, 0)
</f>
        <v>0</v>
      </c>
      <c r="I414" s="1" t="s">
        <v>692</v>
      </c>
      <c r="K414" s="39" t="s">
        <v>693</v>
      </c>
      <c r="M414" s="39" t="s">
        <v>693</v>
      </c>
    </row>
    <row r="415">
      <c r="A415" s="1" t="s">
        <v>703</v>
      </c>
      <c r="C415" s="39" t="s">
        <v>691</v>
      </c>
      <c r="G415" s="39" t="s">
        <v>691</v>
      </c>
      <c r="H415" s="3">
        <f>IF(Sheet1!K423, 1, 0)
</f>
        <v>0</v>
      </c>
      <c r="I415" s="1" t="s">
        <v>692</v>
      </c>
      <c r="K415" s="39" t="s">
        <v>693</v>
      </c>
      <c r="M415" s="39" t="s">
        <v>693</v>
      </c>
    </row>
    <row r="416">
      <c r="A416" s="1" t="s">
        <v>703</v>
      </c>
      <c r="C416" s="39" t="s">
        <v>691</v>
      </c>
      <c r="G416" s="39" t="s">
        <v>691</v>
      </c>
      <c r="H416" s="3">
        <f>IF(Sheet1!K424, 1, 0)
</f>
        <v>0</v>
      </c>
      <c r="I416" s="1" t="s">
        <v>692</v>
      </c>
      <c r="K416" s="39" t="s">
        <v>693</v>
      </c>
      <c r="M416" s="39" t="s">
        <v>693</v>
      </c>
    </row>
    <row r="417">
      <c r="A417" s="1" t="s">
        <v>703</v>
      </c>
      <c r="C417" s="39" t="s">
        <v>691</v>
      </c>
      <c r="G417" s="39" t="s">
        <v>691</v>
      </c>
      <c r="H417" s="3">
        <f>IF(Sheet1!K425, 1, 0)
</f>
        <v>0</v>
      </c>
      <c r="I417" s="1" t="s">
        <v>692</v>
      </c>
      <c r="K417" s="39" t="s">
        <v>693</v>
      </c>
      <c r="M417" s="39" t="s">
        <v>693</v>
      </c>
    </row>
    <row r="418">
      <c r="A418" s="1" t="s">
        <v>703</v>
      </c>
      <c r="C418" s="39" t="s">
        <v>691</v>
      </c>
      <c r="G418" s="39" t="s">
        <v>691</v>
      </c>
      <c r="H418" s="3">
        <f>IF(Sheet1!K426, 1, 0)
</f>
        <v>0</v>
      </c>
      <c r="I418" s="1" t="s">
        <v>692</v>
      </c>
      <c r="K418" s="39" t="s">
        <v>693</v>
      </c>
      <c r="M418" s="39" t="s">
        <v>693</v>
      </c>
    </row>
    <row r="419">
      <c r="A419" s="1" t="s">
        <v>703</v>
      </c>
      <c r="C419" s="39" t="s">
        <v>691</v>
      </c>
      <c r="G419" s="39" t="s">
        <v>691</v>
      </c>
      <c r="H419" s="3">
        <f>IF(Sheet1!K427, 1, 0)
</f>
        <v>0</v>
      </c>
      <c r="I419" s="1" t="s">
        <v>692</v>
      </c>
      <c r="K419" s="39" t="s">
        <v>693</v>
      </c>
      <c r="M419" s="39" t="s">
        <v>693</v>
      </c>
    </row>
    <row r="420">
      <c r="A420" s="1" t="s">
        <v>703</v>
      </c>
      <c r="C420" s="39" t="s">
        <v>691</v>
      </c>
      <c r="G420" s="39" t="s">
        <v>691</v>
      </c>
      <c r="H420" s="3">
        <f>IF(Sheet1!K428, 1, 0)
</f>
        <v>0</v>
      </c>
      <c r="I420" s="1" t="s">
        <v>692</v>
      </c>
      <c r="K420" s="39" t="s">
        <v>693</v>
      </c>
      <c r="M420" s="39" t="s">
        <v>693</v>
      </c>
    </row>
    <row r="421">
      <c r="A421" s="1" t="s">
        <v>703</v>
      </c>
      <c r="C421" s="39" t="s">
        <v>691</v>
      </c>
      <c r="G421" s="39" t="s">
        <v>691</v>
      </c>
      <c r="H421" s="3">
        <f>IF(Sheet1!K429, 1, 0)
</f>
        <v>0</v>
      </c>
      <c r="I421" s="1" t="s">
        <v>692</v>
      </c>
      <c r="K421" s="39" t="s">
        <v>693</v>
      </c>
      <c r="M421" s="39" t="s">
        <v>693</v>
      </c>
    </row>
    <row r="422">
      <c r="A422" s="1" t="s">
        <v>703</v>
      </c>
      <c r="C422" s="39" t="s">
        <v>691</v>
      </c>
      <c r="G422" s="39" t="s">
        <v>691</v>
      </c>
      <c r="H422" s="3">
        <f>IF(Sheet1!K430, 1, 0)
</f>
        <v>0</v>
      </c>
      <c r="I422" s="1" t="s">
        <v>692</v>
      </c>
      <c r="K422" s="39" t="s">
        <v>693</v>
      </c>
      <c r="M422" s="39" t="s">
        <v>693</v>
      </c>
    </row>
    <row r="423">
      <c r="A423" s="1" t="s">
        <v>703</v>
      </c>
      <c r="C423" s="39" t="s">
        <v>691</v>
      </c>
      <c r="G423" s="39" t="s">
        <v>691</v>
      </c>
      <c r="H423" s="3">
        <f>IF(Sheet1!K431, 1, 0)
</f>
        <v>0</v>
      </c>
      <c r="I423" s="1" t="s">
        <v>692</v>
      </c>
      <c r="K423" s="39" t="s">
        <v>693</v>
      </c>
      <c r="M423" s="39" t="s">
        <v>693</v>
      </c>
    </row>
    <row r="424">
      <c r="A424" s="1" t="s">
        <v>703</v>
      </c>
      <c r="C424" s="39" t="s">
        <v>691</v>
      </c>
      <c r="G424" s="39" t="s">
        <v>691</v>
      </c>
      <c r="H424" s="3">
        <f>IF(Sheet1!K432, 1, 0)
</f>
        <v>0</v>
      </c>
      <c r="I424" s="1" t="s">
        <v>692</v>
      </c>
      <c r="K424" s="39" t="s">
        <v>693</v>
      </c>
      <c r="M424" s="39" t="s">
        <v>693</v>
      </c>
    </row>
    <row r="425">
      <c r="A425" s="1" t="s">
        <v>703</v>
      </c>
      <c r="C425" s="39" t="s">
        <v>691</v>
      </c>
      <c r="G425" s="39" t="s">
        <v>691</v>
      </c>
      <c r="H425" s="3">
        <f>IF(Sheet1!K433, 1, 0)
</f>
        <v>0</v>
      </c>
      <c r="I425" s="1" t="s">
        <v>692</v>
      </c>
      <c r="K425" s="39" t="s">
        <v>693</v>
      </c>
      <c r="M425" s="39" t="s">
        <v>693</v>
      </c>
    </row>
    <row r="426">
      <c r="A426" s="1" t="s">
        <v>703</v>
      </c>
      <c r="C426" s="39" t="s">
        <v>691</v>
      </c>
      <c r="G426" s="39" t="s">
        <v>691</v>
      </c>
      <c r="H426" s="3">
        <f>IF(Sheet1!K434, 1, 0)
</f>
        <v>0</v>
      </c>
      <c r="I426" s="1" t="s">
        <v>692</v>
      </c>
      <c r="K426" s="39" t="s">
        <v>693</v>
      </c>
      <c r="M426" s="39" t="s">
        <v>693</v>
      </c>
    </row>
    <row r="427">
      <c r="A427" s="1" t="s">
        <v>703</v>
      </c>
      <c r="C427" s="39" t="s">
        <v>691</v>
      </c>
      <c r="G427" s="39" t="s">
        <v>691</v>
      </c>
      <c r="H427" s="3">
        <f>IF(Sheet1!K435, 1, 0)
</f>
        <v>0</v>
      </c>
      <c r="I427" s="1" t="s">
        <v>692</v>
      </c>
      <c r="K427" s="39" t="s">
        <v>693</v>
      </c>
      <c r="M427" s="39" t="s">
        <v>693</v>
      </c>
    </row>
    <row r="428">
      <c r="A428" s="1" t="s">
        <v>703</v>
      </c>
      <c r="C428" s="39" t="s">
        <v>691</v>
      </c>
      <c r="G428" s="39" t="s">
        <v>691</v>
      </c>
      <c r="H428" s="3">
        <f>IF(Sheet1!K436, 1, 0)
</f>
        <v>0</v>
      </c>
      <c r="I428" s="1" t="s">
        <v>692</v>
      </c>
      <c r="K428" s="39" t="s">
        <v>693</v>
      </c>
      <c r="M428" s="39" t="s">
        <v>693</v>
      </c>
    </row>
    <row r="429">
      <c r="A429" s="1" t="s">
        <v>703</v>
      </c>
      <c r="C429" s="39" t="s">
        <v>691</v>
      </c>
      <c r="G429" s="39" t="s">
        <v>691</v>
      </c>
      <c r="H429" s="3">
        <f>IF(Sheet1!K437, 1, 0)
</f>
        <v>0</v>
      </c>
      <c r="I429" s="1" t="s">
        <v>692</v>
      </c>
      <c r="K429" s="39" t="s">
        <v>693</v>
      </c>
      <c r="M429" s="39" t="s">
        <v>693</v>
      </c>
    </row>
    <row r="430">
      <c r="A430" s="1" t="s">
        <v>703</v>
      </c>
      <c r="C430" s="39" t="s">
        <v>691</v>
      </c>
      <c r="G430" s="39" t="s">
        <v>691</v>
      </c>
      <c r="H430" s="3">
        <f>IF(Sheet1!K438, 1, 0)
</f>
        <v>0</v>
      </c>
      <c r="I430" s="1" t="s">
        <v>692</v>
      </c>
      <c r="K430" s="39" t="s">
        <v>693</v>
      </c>
      <c r="M430" s="39" t="s">
        <v>693</v>
      </c>
    </row>
    <row r="431">
      <c r="A431" s="1" t="s">
        <v>703</v>
      </c>
      <c r="C431" s="39" t="s">
        <v>691</v>
      </c>
      <c r="G431" s="39" t="s">
        <v>691</v>
      </c>
      <c r="H431" s="3">
        <f>IF(Sheet1!K439, 1, 0)
</f>
        <v>0</v>
      </c>
      <c r="I431" s="1" t="s">
        <v>692</v>
      </c>
      <c r="K431" s="39" t="s">
        <v>693</v>
      </c>
      <c r="M431" s="39" t="s">
        <v>693</v>
      </c>
    </row>
    <row r="432">
      <c r="A432" s="1" t="s">
        <v>703</v>
      </c>
      <c r="C432" s="39" t="s">
        <v>691</v>
      </c>
      <c r="G432" s="39" t="s">
        <v>691</v>
      </c>
      <c r="H432" s="3">
        <f>IF(Sheet1!K440, 1, 0)
</f>
        <v>0</v>
      </c>
      <c r="I432" s="1" t="s">
        <v>692</v>
      </c>
      <c r="K432" s="39" t="s">
        <v>693</v>
      </c>
      <c r="M432" s="39" t="s">
        <v>693</v>
      </c>
    </row>
    <row r="433">
      <c r="A433" s="1" t="s">
        <v>703</v>
      </c>
      <c r="C433" s="39" t="s">
        <v>691</v>
      </c>
      <c r="G433" s="39" t="s">
        <v>691</v>
      </c>
      <c r="H433" s="3">
        <f>IF(Sheet1!K441, 1, 0)
</f>
        <v>0</v>
      </c>
      <c r="I433" s="1" t="s">
        <v>692</v>
      </c>
      <c r="K433" s="39" t="s">
        <v>693</v>
      </c>
      <c r="M433" s="39" t="s">
        <v>693</v>
      </c>
    </row>
    <row r="434">
      <c r="A434" s="1" t="s">
        <v>703</v>
      </c>
      <c r="C434" s="39" t="s">
        <v>691</v>
      </c>
      <c r="G434" s="39" t="s">
        <v>691</v>
      </c>
      <c r="H434" s="3">
        <f>IF(Sheet1!K442, 1, 0)
</f>
        <v>0</v>
      </c>
      <c r="I434" s="1" t="s">
        <v>692</v>
      </c>
      <c r="K434" s="39" t="s">
        <v>693</v>
      </c>
      <c r="M434" s="39" t="s">
        <v>693</v>
      </c>
    </row>
    <row r="435">
      <c r="A435" s="1" t="s">
        <v>703</v>
      </c>
      <c r="C435" s="39" t="s">
        <v>691</v>
      </c>
      <c r="G435" s="39" t="s">
        <v>691</v>
      </c>
      <c r="H435" s="3">
        <f>IF(Sheet1!K443, 1, 0)
</f>
        <v>0</v>
      </c>
      <c r="I435" s="1" t="s">
        <v>692</v>
      </c>
      <c r="K435" s="39" t="s">
        <v>693</v>
      </c>
      <c r="M435" s="39" t="s">
        <v>693</v>
      </c>
    </row>
    <row r="436">
      <c r="A436" s="1" t="s">
        <v>703</v>
      </c>
      <c r="C436" s="39" t="s">
        <v>691</v>
      </c>
      <c r="G436" s="39" t="s">
        <v>691</v>
      </c>
      <c r="H436" s="3">
        <f>IF(Sheet1!K444, 1, 0)
</f>
        <v>0</v>
      </c>
      <c r="I436" s="1" t="s">
        <v>692</v>
      </c>
      <c r="K436" s="39" t="s">
        <v>693</v>
      </c>
      <c r="M436" s="39" t="s">
        <v>693</v>
      </c>
    </row>
    <row r="437">
      <c r="A437" s="1" t="s">
        <v>703</v>
      </c>
      <c r="C437" s="39" t="s">
        <v>691</v>
      </c>
      <c r="G437" s="39" t="s">
        <v>691</v>
      </c>
      <c r="H437" s="3">
        <f>IF(Sheet1!K445, 1, 0)
</f>
        <v>0</v>
      </c>
      <c r="I437" s="1" t="s">
        <v>692</v>
      </c>
      <c r="K437" s="39" t="s">
        <v>693</v>
      </c>
      <c r="M437" s="39" t="s">
        <v>693</v>
      </c>
    </row>
    <row r="438">
      <c r="A438" s="1" t="s">
        <v>703</v>
      </c>
      <c r="C438" s="39" t="s">
        <v>691</v>
      </c>
      <c r="G438" s="39" t="s">
        <v>691</v>
      </c>
      <c r="H438" s="3">
        <f>IF(Sheet1!K446, 1, 0)
</f>
        <v>0</v>
      </c>
      <c r="I438" s="1" t="s">
        <v>692</v>
      </c>
      <c r="K438" s="39" t="s">
        <v>693</v>
      </c>
      <c r="M438" s="39" t="s">
        <v>693</v>
      </c>
    </row>
    <row r="439">
      <c r="A439" s="1" t="s">
        <v>703</v>
      </c>
      <c r="C439" s="39" t="s">
        <v>691</v>
      </c>
      <c r="G439" s="39" t="s">
        <v>691</v>
      </c>
      <c r="H439" s="3">
        <f>IF(Sheet1!K447, 1, 0)
</f>
        <v>0</v>
      </c>
      <c r="I439" s="1" t="s">
        <v>692</v>
      </c>
      <c r="K439" s="39" t="s">
        <v>693</v>
      </c>
      <c r="M439" s="39" t="s">
        <v>693</v>
      </c>
    </row>
    <row r="440">
      <c r="A440" s="1" t="s">
        <v>703</v>
      </c>
      <c r="C440" s="39" t="s">
        <v>691</v>
      </c>
      <c r="G440" s="39" t="s">
        <v>691</v>
      </c>
      <c r="H440" s="3">
        <f>IF(Sheet1!K448, 1, 0)
</f>
        <v>0</v>
      </c>
      <c r="I440" s="1" t="s">
        <v>692</v>
      </c>
      <c r="K440" s="39" t="s">
        <v>693</v>
      </c>
      <c r="M440" s="39" t="s">
        <v>693</v>
      </c>
    </row>
    <row r="441">
      <c r="A441" s="1" t="s">
        <v>703</v>
      </c>
      <c r="C441" s="39" t="s">
        <v>691</v>
      </c>
      <c r="G441" s="39" t="s">
        <v>691</v>
      </c>
      <c r="H441" s="3">
        <f>IF(Sheet1!K449, 1, 0)
</f>
        <v>0</v>
      </c>
      <c r="I441" s="1" t="s">
        <v>692</v>
      </c>
      <c r="K441" s="39" t="s">
        <v>693</v>
      </c>
      <c r="M441" s="39" t="s">
        <v>693</v>
      </c>
    </row>
    <row r="442">
      <c r="A442" s="1" t="s">
        <v>703</v>
      </c>
      <c r="C442" s="39" t="s">
        <v>691</v>
      </c>
      <c r="G442" s="39" t="s">
        <v>691</v>
      </c>
      <c r="H442" s="3">
        <f>IF(Sheet1!K450, 1, 0)
</f>
        <v>0</v>
      </c>
      <c r="I442" s="1" t="s">
        <v>692</v>
      </c>
      <c r="K442" s="39" t="s">
        <v>693</v>
      </c>
      <c r="M442" s="39" t="s">
        <v>693</v>
      </c>
    </row>
    <row r="443">
      <c r="A443" s="1" t="s">
        <v>703</v>
      </c>
      <c r="C443" s="39" t="s">
        <v>691</v>
      </c>
      <c r="G443" s="39" t="s">
        <v>691</v>
      </c>
      <c r="H443" s="3">
        <f>IF(Sheet1!K451, 1, 0)
</f>
        <v>0</v>
      </c>
      <c r="I443" s="1" t="s">
        <v>692</v>
      </c>
      <c r="K443" s="39" t="s">
        <v>693</v>
      </c>
      <c r="M443" s="39" t="s">
        <v>693</v>
      </c>
    </row>
    <row r="444">
      <c r="A444" s="1" t="s">
        <v>703</v>
      </c>
      <c r="C444" s="39" t="s">
        <v>691</v>
      </c>
      <c r="G444" s="39" t="s">
        <v>691</v>
      </c>
      <c r="H444" s="3">
        <f>IF(Sheet1!K452, 1, 0)
</f>
        <v>0</v>
      </c>
      <c r="I444" s="1" t="s">
        <v>692</v>
      </c>
      <c r="K444" s="39" t="s">
        <v>693</v>
      </c>
      <c r="M444" s="39" t="s">
        <v>693</v>
      </c>
    </row>
    <row r="445">
      <c r="A445" s="1" t="s">
        <v>703</v>
      </c>
      <c r="C445" s="39" t="s">
        <v>691</v>
      </c>
      <c r="G445" s="39" t="s">
        <v>691</v>
      </c>
      <c r="H445" s="3">
        <f>IF(Sheet1!K453, 1, 0)
</f>
        <v>0</v>
      </c>
      <c r="I445" s="1" t="s">
        <v>692</v>
      </c>
      <c r="K445" s="39" t="s">
        <v>693</v>
      </c>
      <c r="M445" s="39" t="s">
        <v>693</v>
      </c>
    </row>
    <row r="446">
      <c r="A446" s="1" t="s">
        <v>703</v>
      </c>
      <c r="C446" s="39" t="s">
        <v>691</v>
      </c>
      <c r="G446" s="39" t="s">
        <v>691</v>
      </c>
      <c r="H446" s="3">
        <f>IF(Sheet1!K454, 1, 0)
</f>
        <v>0</v>
      </c>
      <c r="I446" s="1" t="s">
        <v>692</v>
      </c>
      <c r="K446" s="39" t="s">
        <v>693</v>
      </c>
      <c r="M446" s="39" t="s">
        <v>693</v>
      </c>
    </row>
    <row r="447">
      <c r="A447" s="1" t="s">
        <v>703</v>
      </c>
      <c r="C447" s="39" t="s">
        <v>691</v>
      </c>
      <c r="G447" s="39" t="s">
        <v>691</v>
      </c>
      <c r="H447" s="3">
        <f>IF(Sheet1!K455, 1, 0)
</f>
        <v>0</v>
      </c>
      <c r="I447" s="1" t="s">
        <v>692</v>
      </c>
      <c r="K447" s="39" t="s">
        <v>693</v>
      </c>
      <c r="M447" s="39" t="s">
        <v>693</v>
      </c>
    </row>
    <row r="448">
      <c r="A448" s="1" t="s">
        <v>703</v>
      </c>
      <c r="C448" s="39" t="s">
        <v>691</v>
      </c>
      <c r="G448" s="39" t="s">
        <v>691</v>
      </c>
      <c r="H448" s="3">
        <f>IF(Sheet1!K456, 1, 0)
</f>
        <v>0</v>
      </c>
      <c r="I448" s="1" t="s">
        <v>692</v>
      </c>
      <c r="K448" s="39" t="s">
        <v>693</v>
      </c>
      <c r="M448" s="39" t="s">
        <v>693</v>
      </c>
    </row>
    <row r="449">
      <c r="A449" s="1" t="s">
        <v>703</v>
      </c>
      <c r="C449" s="39" t="s">
        <v>691</v>
      </c>
      <c r="G449" s="39" t="s">
        <v>691</v>
      </c>
      <c r="H449" s="3">
        <f>IF(Sheet1!K457, 1, 0)
</f>
        <v>0</v>
      </c>
      <c r="I449" s="1" t="s">
        <v>692</v>
      </c>
      <c r="K449" s="39" t="s">
        <v>693</v>
      </c>
      <c r="M449" s="39" t="s">
        <v>693</v>
      </c>
    </row>
    <row r="450">
      <c r="A450" s="1" t="s">
        <v>703</v>
      </c>
      <c r="C450" s="39" t="s">
        <v>691</v>
      </c>
      <c r="G450" s="39" t="s">
        <v>691</v>
      </c>
      <c r="H450" s="3">
        <f>IF(Sheet1!K458, 1, 0)
</f>
        <v>0</v>
      </c>
      <c r="I450" s="1" t="s">
        <v>692</v>
      </c>
      <c r="K450" s="39" t="s">
        <v>693</v>
      </c>
      <c r="M450" s="39" t="s">
        <v>693</v>
      </c>
    </row>
    <row r="451">
      <c r="A451" s="1" t="s">
        <v>703</v>
      </c>
      <c r="C451" s="39" t="s">
        <v>691</v>
      </c>
      <c r="G451" s="39" t="s">
        <v>691</v>
      </c>
      <c r="H451" s="3">
        <f>IF(Sheet1!K459, 1, 0)
</f>
        <v>0</v>
      </c>
      <c r="I451" s="1" t="s">
        <v>692</v>
      </c>
      <c r="K451" s="39" t="s">
        <v>693</v>
      </c>
      <c r="M451" s="39" t="s">
        <v>693</v>
      </c>
    </row>
    <row r="452">
      <c r="A452" s="1" t="s">
        <v>703</v>
      </c>
      <c r="C452" s="39" t="s">
        <v>691</v>
      </c>
      <c r="G452" s="39" t="s">
        <v>691</v>
      </c>
      <c r="H452" s="3">
        <f>IF(Sheet1!K460, 1, 0)
</f>
        <v>0</v>
      </c>
      <c r="I452" s="1" t="s">
        <v>692</v>
      </c>
      <c r="K452" s="39" t="s">
        <v>693</v>
      </c>
      <c r="M452" s="39" t="s">
        <v>693</v>
      </c>
    </row>
    <row r="453">
      <c r="A453" s="1" t="s">
        <v>703</v>
      </c>
      <c r="C453" s="39" t="s">
        <v>691</v>
      </c>
      <c r="G453" s="39" t="s">
        <v>691</v>
      </c>
      <c r="H453" s="3">
        <f>IF(Sheet1!K461, 1, 0)
</f>
        <v>0</v>
      </c>
      <c r="I453" s="1" t="s">
        <v>692</v>
      </c>
      <c r="K453" s="39" t="s">
        <v>693</v>
      </c>
      <c r="M453" s="39" t="s">
        <v>693</v>
      </c>
    </row>
    <row r="454">
      <c r="A454" s="1" t="s">
        <v>703</v>
      </c>
      <c r="C454" s="39" t="s">
        <v>691</v>
      </c>
      <c r="G454" s="39" t="s">
        <v>691</v>
      </c>
      <c r="H454" s="3">
        <f>IF(Sheet1!K462, 1, 0)
</f>
        <v>0</v>
      </c>
      <c r="I454" s="1" t="s">
        <v>692</v>
      </c>
      <c r="K454" s="39" t="s">
        <v>693</v>
      </c>
      <c r="M454" s="39" t="s">
        <v>693</v>
      </c>
    </row>
    <row r="455">
      <c r="A455" s="1" t="s">
        <v>703</v>
      </c>
      <c r="C455" s="39" t="s">
        <v>691</v>
      </c>
      <c r="G455" s="39" t="s">
        <v>691</v>
      </c>
      <c r="H455" s="3">
        <f>IF(Sheet1!K463, 1, 0)
</f>
        <v>0</v>
      </c>
      <c r="I455" s="1" t="s">
        <v>692</v>
      </c>
      <c r="K455" s="39" t="s">
        <v>693</v>
      </c>
      <c r="M455" s="39" t="s">
        <v>693</v>
      </c>
    </row>
    <row r="456">
      <c r="A456" s="1" t="s">
        <v>703</v>
      </c>
      <c r="C456" s="39" t="s">
        <v>691</v>
      </c>
      <c r="G456" s="39" t="s">
        <v>691</v>
      </c>
      <c r="H456" s="3">
        <f>IF(Sheet1!K464, 1, 0)
</f>
        <v>0</v>
      </c>
      <c r="I456" s="1" t="s">
        <v>692</v>
      </c>
      <c r="K456" s="39" t="s">
        <v>693</v>
      </c>
      <c r="M456" s="39" t="s">
        <v>693</v>
      </c>
    </row>
    <row r="457">
      <c r="A457" s="1" t="s">
        <v>703</v>
      </c>
      <c r="C457" s="39" t="s">
        <v>691</v>
      </c>
      <c r="G457" s="39" t="s">
        <v>691</v>
      </c>
      <c r="H457" s="3">
        <f>IF(Sheet1!K465, 1, 0)
</f>
        <v>0</v>
      </c>
      <c r="I457" s="1" t="s">
        <v>692</v>
      </c>
      <c r="K457" s="39" t="s">
        <v>693</v>
      </c>
      <c r="M457" s="39" t="s">
        <v>693</v>
      </c>
    </row>
    <row r="458">
      <c r="A458" s="1" t="s">
        <v>703</v>
      </c>
      <c r="C458" s="39" t="s">
        <v>691</v>
      </c>
      <c r="G458" s="39" t="s">
        <v>691</v>
      </c>
      <c r="H458" s="3">
        <f>IF(Sheet1!K466, 1, 0)
</f>
        <v>0</v>
      </c>
      <c r="I458" s="1" t="s">
        <v>692</v>
      </c>
      <c r="K458" s="39" t="s">
        <v>693</v>
      </c>
      <c r="M458" s="39" t="s">
        <v>693</v>
      </c>
    </row>
    <row r="459">
      <c r="A459" s="1" t="s">
        <v>703</v>
      </c>
      <c r="C459" s="39" t="s">
        <v>691</v>
      </c>
      <c r="G459" s="39" t="s">
        <v>691</v>
      </c>
      <c r="H459" s="3">
        <f>IF(Sheet1!K467, 1, 0)
</f>
        <v>0</v>
      </c>
      <c r="I459" s="1" t="s">
        <v>692</v>
      </c>
      <c r="K459" s="39" t="s">
        <v>693</v>
      </c>
      <c r="M459" s="39" t="s">
        <v>693</v>
      </c>
    </row>
    <row r="460">
      <c r="A460" s="1" t="s">
        <v>703</v>
      </c>
      <c r="C460" s="39" t="s">
        <v>691</v>
      </c>
      <c r="G460" s="39" t="s">
        <v>691</v>
      </c>
      <c r="H460" s="3">
        <f>IF(Sheet1!K468, 1, 0)
</f>
        <v>0</v>
      </c>
      <c r="I460" s="1" t="s">
        <v>692</v>
      </c>
      <c r="K460" s="39" t="s">
        <v>693</v>
      </c>
      <c r="M460" s="39" t="s">
        <v>693</v>
      </c>
    </row>
    <row r="461">
      <c r="A461" s="1" t="s">
        <v>703</v>
      </c>
      <c r="C461" s="39" t="s">
        <v>691</v>
      </c>
      <c r="G461" s="39" t="s">
        <v>691</v>
      </c>
      <c r="H461" s="3">
        <f>IF(Sheet1!K469, 1, 0)
</f>
        <v>0</v>
      </c>
      <c r="I461" s="1" t="s">
        <v>692</v>
      </c>
      <c r="K461" s="39" t="s">
        <v>693</v>
      </c>
      <c r="M461" s="39" t="s">
        <v>693</v>
      </c>
    </row>
    <row r="462">
      <c r="A462" s="1" t="s">
        <v>703</v>
      </c>
      <c r="C462" s="39" t="s">
        <v>691</v>
      </c>
      <c r="G462" s="39" t="s">
        <v>691</v>
      </c>
      <c r="H462" s="3">
        <f>IF(Sheet1!K470, 1, 0)
</f>
        <v>0</v>
      </c>
      <c r="I462" s="1" t="s">
        <v>692</v>
      </c>
      <c r="K462" s="39" t="s">
        <v>693</v>
      </c>
      <c r="M462" s="39" t="s">
        <v>693</v>
      </c>
    </row>
    <row r="463">
      <c r="A463" s="1" t="s">
        <v>703</v>
      </c>
      <c r="C463" s="39" t="s">
        <v>691</v>
      </c>
      <c r="G463" s="39" t="s">
        <v>691</v>
      </c>
      <c r="H463" s="3">
        <f>IF(Sheet1!K471, 1, 0)
</f>
        <v>0</v>
      </c>
      <c r="I463" s="1" t="s">
        <v>692</v>
      </c>
      <c r="K463" s="39" t="s">
        <v>693</v>
      </c>
      <c r="M463" s="39" t="s">
        <v>693</v>
      </c>
    </row>
    <row r="464">
      <c r="A464" s="1" t="s">
        <v>703</v>
      </c>
      <c r="C464" s="39" t="s">
        <v>691</v>
      </c>
      <c r="G464" s="39" t="s">
        <v>691</v>
      </c>
      <c r="H464" s="3">
        <f>IF(Sheet1!K472, 1, 0)
</f>
        <v>0</v>
      </c>
      <c r="I464" s="1" t="s">
        <v>692</v>
      </c>
      <c r="K464" s="39" t="s">
        <v>693</v>
      </c>
      <c r="M464" s="39" t="s">
        <v>693</v>
      </c>
    </row>
    <row r="465">
      <c r="A465" s="1" t="s">
        <v>703</v>
      </c>
      <c r="C465" s="39" t="s">
        <v>691</v>
      </c>
      <c r="G465" s="39" t="s">
        <v>691</v>
      </c>
      <c r="H465" s="3">
        <f>IF(Sheet1!K473, 1, 0)
</f>
        <v>0</v>
      </c>
      <c r="I465" s="1" t="s">
        <v>692</v>
      </c>
      <c r="K465" s="39" t="s">
        <v>693</v>
      </c>
      <c r="M465" s="39" t="s">
        <v>693</v>
      </c>
    </row>
    <row r="466">
      <c r="A466" s="1" t="s">
        <v>703</v>
      </c>
      <c r="C466" s="39" t="s">
        <v>691</v>
      </c>
      <c r="G466" s="39" t="s">
        <v>691</v>
      </c>
      <c r="H466" s="3">
        <f>IF(Sheet1!K474, 1, 0)
</f>
        <v>0</v>
      </c>
      <c r="I466" s="1" t="s">
        <v>692</v>
      </c>
      <c r="K466" s="39" t="s">
        <v>693</v>
      </c>
      <c r="M466" s="39" t="s">
        <v>693</v>
      </c>
    </row>
    <row r="467">
      <c r="A467" s="1" t="s">
        <v>703</v>
      </c>
      <c r="C467" s="39" t="s">
        <v>691</v>
      </c>
      <c r="G467" s="39" t="s">
        <v>691</v>
      </c>
      <c r="H467" s="3">
        <f>IF(Sheet1!K475, 1, 0)
</f>
        <v>0</v>
      </c>
      <c r="I467" s="1" t="s">
        <v>692</v>
      </c>
      <c r="K467" s="39" t="s">
        <v>693</v>
      </c>
      <c r="M467" s="39" t="s">
        <v>693</v>
      </c>
    </row>
    <row r="468">
      <c r="A468" s="1" t="s">
        <v>703</v>
      </c>
      <c r="C468" s="39" t="s">
        <v>691</v>
      </c>
      <c r="G468" s="39" t="s">
        <v>691</v>
      </c>
      <c r="H468" s="3">
        <f>IF(Sheet1!K476, 1, 0)
</f>
        <v>0</v>
      </c>
      <c r="I468" s="1" t="s">
        <v>692</v>
      </c>
      <c r="K468" s="39" t="s">
        <v>693</v>
      </c>
      <c r="M468" s="39" t="s">
        <v>693</v>
      </c>
    </row>
    <row r="469">
      <c r="A469" s="1" t="s">
        <v>703</v>
      </c>
      <c r="C469" s="39" t="s">
        <v>691</v>
      </c>
      <c r="G469" s="39" t="s">
        <v>691</v>
      </c>
      <c r="H469" s="3">
        <f>IF(Sheet1!K477, 1, 0)
</f>
        <v>0</v>
      </c>
      <c r="I469" s="1" t="s">
        <v>692</v>
      </c>
      <c r="K469" s="39" t="s">
        <v>693</v>
      </c>
      <c r="M469" s="39" t="s">
        <v>693</v>
      </c>
    </row>
    <row r="470">
      <c r="A470" s="1" t="s">
        <v>703</v>
      </c>
      <c r="C470" s="39" t="s">
        <v>691</v>
      </c>
      <c r="G470" s="39" t="s">
        <v>691</v>
      </c>
      <c r="H470" s="3">
        <f>IF(Sheet1!K478, 1, 0)
</f>
        <v>0</v>
      </c>
      <c r="I470" s="1" t="s">
        <v>692</v>
      </c>
      <c r="K470" s="39" t="s">
        <v>693</v>
      </c>
      <c r="M470" s="39" t="s">
        <v>693</v>
      </c>
    </row>
    <row r="471">
      <c r="A471" s="1" t="s">
        <v>703</v>
      </c>
      <c r="C471" s="39" t="s">
        <v>691</v>
      </c>
      <c r="G471" s="39" t="s">
        <v>691</v>
      </c>
      <c r="H471" s="3">
        <f>IF(Sheet1!K479, 1, 0)
</f>
        <v>0</v>
      </c>
      <c r="I471" s="1" t="s">
        <v>692</v>
      </c>
      <c r="K471" s="39" t="s">
        <v>693</v>
      </c>
      <c r="M471" s="39" t="s">
        <v>693</v>
      </c>
    </row>
    <row r="472">
      <c r="A472" s="1" t="s">
        <v>703</v>
      </c>
      <c r="C472" s="39" t="s">
        <v>691</v>
      </c>
      <c r="G472" s="39" t="s">
        <v>691</v>
      </c>
      <c r="H472" s="3">
        <f>IF(Sheet1!K480, 1, 0)
</f>
        <v>0</v>
      </c>
      <c r="I472" s="1" t="s">
        <v>692</v>
      </c>
      <c r="K472" s="39" t="s">
        <v>693</v>
      </c>
      <c r="M472" s="39" t="s">
        <v>693</v>
      </c>
    </row>
    <row r="473">
      <c r="A473" s="1" t="s">
        <v>703</v>
      </c>
      <c r="C473" s="39" t="s">
        <v>691</v>
      </c>
      <c r="G473" s="39" t="s">
        <v>691</v>
      </c>
      <c r="H473" s="3">
        <f>IF(Sheet1!K481, 1, 0)
</f>
        <v>0</v>
      </c>
      <c r="I473" s="1" t="s">
        <v>692</v>
      </c>
      <c r="K473" s="39" t="s">
        <v>693</v>
      </c>
      <c r="M473" s="39" t="s">
        <v>693</v>
      </c>
    </row>
    <row r="474">
      <c r="A474" s="1" t="s">
        <v>703</v>
      </c>
      <c r="C474" s="39" t="s">
        <v>691</v>
      </c>
      <c r="G474" s="39" t="s">
        <v>691</v>
      </c>
      <c r="H474" s="3">
        <f>IF(Sheet1!K482, 1, 0)
</f>
        <v>0</v>
      </c>
      <c r="I474" s="1" t="s">
        <v>692</v>
      </c>
      <c r="K474" s="39" t="s">
        <v>693</v>
      </c>
      <c r="M474" s="39" t="s">
        <v>693</v>
      </c>
    </row>
    <row r="475">
      <c r="A475" s="1" t="s">
        <v>703</v>
      </c>
      <c r="C475" s="39" t="s">
        <v>691</v>
      </c>
      <c r="G475" s="39" t="s">
        <v>691</v>
      </c>
      <c r="H475" s="3">
        <f>IF(Sheet1!K483, 1, 0)
</f>
        <v>0</v>
      </c>
      <c r="I475" s="1" t="s">
        <v>692</v>
      </c>
      <c r="K475" s="39" t="s">
        <v>693</v>
      </c>
      <c r="M475" s="39" t="s">
        <v>693</v>
      </c>
    </row>
    <row r="476">
      <c r="A476" s="1" t="s">
        <v>703</v>
      </c>
      <c r="C476" s="39" t="s">
        <v>691</v>
      </c>
      <c r="G476" s="39" t="s">
        <v>691</v>
      </c>
      <c r="H476" s="3">
        <f>IF(Sheet1!K484, 1, 0)
</f>
        <v>0</v>
      </c>
      <c r="I476" s="1" t="s">
        <v>692</v>
      </c>
      <c r="K476" s="39" t="s">
        <v>693</v>
      </c>
      <c r="M476" s="39" t="s">
        <v>693</v>
      </c>
    </row>
    <row r="477">
      <c r="A477" s="1" t="s">
        <v>703</v>
      </c>
      <c r="C477" s="39" t="s">
        <v>691</v>
      </c>
      <c r="G477" s="39" t="s">
        <v>691</v>
      </c>
      <c r="H477" s="3">
        <f>IF(Sheet1!K485, 1, 0)
</f>
        <v>0</v>
      </c>
      <c r="I477" s="1" t="s">
        <v>692</v>
      </c>
      <c r="K477" s="39" t="s">
        <v>693</v>
      </c>
      <c r="M477" s="39" t="s">
        <v>693</v>
      </c>
    </row>
    <row r="478">
      <c r="A478" s="1" t="s">
        <v>703</v>
      </c>
      <c r="C478" s="39" t="s">
        <v>691</v>
      </c>
      <c r="G478" s="39" t="s">
        <v>691</v>
      </c>
      <c r="H478" s="3">
        <f>IF(Sheet1!K486, 1, 0)
</f>
        <v>0</v>
      </c>
      <c r="I478" s="1" t="s">
        <v>692</v>
      </c>
      <c r="K478" s="39" t="s">
        <v>693</v>
      </c>
      <c r="M478" s="39" t="s">
        <v>693</v>
      </c>
    </row>
    <row r="479">
      <c r="A479" s="1" t="s">
        <v>703</v>
      </c>
      <c r="C479" s="39" t="s">
        <v>691</v>
      </c>
      <c r="G479" s="39" t="s">
        <v>691</v>
      </c>
      <c r="H479" s="3">
        <f>IF(Sheet1!K487, 1, 0)
</f>
        <v>0</v>
      </c>
      <c r="I479" s="1" t="s">
        <v>692</v>
      </c>
      <c r="K479" s="39" t="s">
        <v>693</v>
      </c>
      <c r="M479" s="39" t="s">
        <v>693</v>
      </c>
    </row>
    <row r="480">
      <c r="A480" s="1" t="s">
        <v>703</v>
      </c>
      <c r="C480" s="39" t="s">
        <v>691</v>
      </c>
      <c r="G480" s="39" t="s">
        <v>691</v>
      </c>
      <c r="H480" s="3">
        <f>IF(Sheet1!K488, 1, 0)
</f>
        <v>0</v>
      </c>
      <c r="I480" s="1" t="s">
        <v>692</v>
      </c>
      <c r="K480" s="39" t="s">
        <v>693</v>
      </c>
      <c r="M480" s="39" t="s">
        <v>693</v>
      </c>
    </row>
    <row r="481">
      <c r="A481" s="1" t="s">
        <v>703</v>
      </c>
      <c r="C481" s="39" t="s">
        <v>691</v>
      </c>
      <c r="G481" s="39" t="s">
        <v>691</v>
      </c>
      <c r="H481" s="3">
        <f>IF(Sheet1!K489, 1, 0)
</f>
        <v>0</v>
      </c>
      <c r="I481" s="1" t="s">
        <v>692</v>
      </c>
      <c r="K481" s="39" t="s">
        <v>693</v>
      </c>
      <c r="M481" s="39" t="s">
        <v>693</v>
      </c>
    </row>
    <row r="482">
      <c r="A482" s="1" t="s">
        <v>703</v>
      </c>
      <c r="C482" s="39" t="s">
        <v>691</v>
      </c>
      <c r="G482" s="39" t="s">
        <v>691</v>
      </c>
      <c r="H482" s="3">
        <f>IF(Sheet1!K490, 1, 0)
</f>
        <v>0</v>
      </c>
      <c r="I482" s="1" t="s">
        <v>692</v>
      </c>
      <c r="K482" s="39" t="s">
        <v>693</v>
      </c>
      <c r="M482" s="39" t="s">
        <v>693</v>
      </c>
    </row>
    <row r="483">
      <c r="A483" s="1" t="s">
        <v>703</v>
      </c>
      <c r="C483" s="39" t="s">
        <v>691</v>
      </c>
      <c r="G483" s="39" t="s">
        <v>691</v>
      </c>
      <c r="H483" s="3">
        <f>IF(Sheet1!K491, 1, 0)
</f>
        <v>0</v>
      </c>
      <c r="I483" s="1" t="s">
        <v>692</v>
      </c>
      <c r="K483" s="39" t="s">
        <v>693</v>
      </c>
      <c r="M483" s="39" t="s">
        <v>693</v>
      </c>
    </row>
    <row r="484">
      <c r="A484" s="1" t="s">
        <v>703</v>
      </c>
      <c r="C484" s="39" t="s">
        <v>691</v>
      </c>
      <c r="G484" s="39" t="s">
        <v>691</v>
      </c>
      <c r="H484" s="3">
        <f>IF(Sheet1!K492, 1, 0)
</f>
        <v>0</v>
      </c>
      <c r="I484" s="1" t="s">
        <v>692</v>
      </c>
      <c r="K484" s="39" t="s">
        <v>693</v>
      </c>
      <c r="M484" s="39" t="s">
        <v>693</v>
      </c>
    </row>
    <row r="485">
      <c r="A485" s="1" t="s">
        <v>703</v>
      </c>
      <c r="C485" s="39" t="s">
        <v>691</v>
      </c>
      <c r="G485" s="39" t="s">
        <v>691</v>
      </c>
      <c r="H485" s="3">
        <f>IF(Sheet1!K493, 1, 0)
</f>
        <v>0</v>
      </c>
      <c r="I485" s="1" t="s">
        <v>692</v>
      </c>
      <c r="K485" s="39" t="s">
        <v>693</v>
      </c>
      <c r="M485" s="39" t="s">
        <v>693</v>
      </c>
    </row>
    <row r="486">
      <c r="A486" s="1" t="s">
        <v>703</v>
      </c>
      <c r="C486" s="39" t="s">
        <v>691</v>
      </c>
      <c r="G486" s="39" t="s">
        <v>691</v>
      </c>
      <c r="H486" s="3">
        <f>IF(Sheet1!K494, 1, 0)
</f>
        <v>0</v>
      </c>
      <c r="I486" s="1" t="s">
        <v>692</v>
      </c>
      <c r="K486" s="39" t="s">
        <v>693</v>
      </c>
      <c r="M486" s="39" t="s">
        <v>693</v>
      </c>
    </row>
    <row r="487">
      <c r="A487" s="1" t="s">
        <v>703</v>
      </c>
      <c r="C487" s="39" t="s">
        <v>691</v>
      </c>
      <c r="G487" s="39" t="s">
        <v>691</v>
      </c>
      <c r="H487" s="3">
        <f>IF(Sheet1!K495, 1, 0)
</f>
        <v>0</v>
      </c>
      <c r="I487" s="1" t="s">
        <v>692</v>
      </c>
      <c r="K487" s="39" t="s">
        <v>693</v>
      </c>
      <c r="M487" s="39" t="s">
        <v>693</v>
      </c>
    </row>
    <row r="488">
      <c r="A488" s="1" t="s">
        <v>703</v>
      </c>
      <c r="C488" s="39" t="s">
        <v>691</v>
      </c>
      <c r="G488" s="39" t="s">
        <v>691</v>
      </c>
      <c r="H488" s="3">
        <f>IF(Sheet1!K496, 1, 0)
</f>
        <v>0</v>
      </c>
      <c r="I488" s="1" t="s">
        <v>692</v>
      </c>
      <c r="K488" s="39" t="s">
        <v>693</v>
      </c>
      <c r="M488" s="39" t="s">
        <v>693</v>
      </c>
    </row>
    <row r="489">
      <c r="A489" s="1" t="s">
        <v>703</v>
      </c>
      <c r="C489" s="39" t="s">
        <v>691</v>
      </c>
      <c r="G489" s="39" t="s">
        <v>691</v>
      </c>
      <c r="H489" s="3">
        <f>IF(Sheet1!K497, 1, 0)
</f>
        <v>0</v>
      </c>
      <c r="I489" s="1" t="s">
        <v>692</v>
      </c>
      <c r="K489" s="39" t="s">
        <v>693</v>
      </c>
      <c r="M489" s="39" t="s">
        <v>693</v>
      </c>
    </row>
    <row r="490">
      <c r="A490" s="1" t="s">
        <v>703</v>
      </c>
      <c r="C490" s="39" t="s">
        <v>691</v>
      </c>
      <c r="G490" s="39" t="s">
        <v>691</v>
      </c>
      <c r="H490" s="3">
        <f>IF(Sheet1!K498, 1, 0)
</f>
        <v>0</v>
      </c>
      <c r="I490" s="1" t="s">
        <v>692</v>
      </c>
      <c r="K490" s="39" t="s">
        <v>693</v>
      </c>
      <c r="M490" s="39" t="s">
        <v>693</v>
      </c>
    </row>
    <row r="491">
      <c r="A491" s="1" t="s">
        <v>703</v>
      </c>
      <c r="C491" s="39" t="s">
        <v>691</v>
      </c>
      <c r="G491" s="39" t="s">
        <v>691</v>
      </c>
      <c r="H491" s="3">
        <f>IF(Sheet1!K499, 1, 0)
</f>
        <v>0</v>
      </c>
      <c r="I491" s="1" t="s">
        <v>692</v>
      </c>
      <c r="K491" s="39" t="s">
        <v>693</v>
      </c>
      <c r="M491" s="39" t="s">
        <v>693</v>
      </c>
    </row>
    <row r="492">
      <c r="A492" s="1" t="s">
        <v>703</v>
      </c>
      <c r="C492" s="39" t="s">
        <v>691</v>
      </c>
      <c r="G492" s="39" t="s">
        <v>691</v>
      </c>
      <c r="H492" s="3">
        <f>IF(Sheet1!K500, 1, 0)
</f>
        <v>0</v>
      </c>
      <c r="I492" s="1" t="s">
        <v>692</v>
      </c>
      <c r="K492" s="39" t="s">
        <v>693</v>
      </c>
      <c r="M492" s="39" t="s">
        <v>693</v>
      </c>
    </row>
    <row r="493">
      <c r="A493" s="1" t="s">
        <v>703</v>
      </c>
      <c r="C493" s="39" t="s">
        <v>691</v>
      </c>
      <c r="G493" s="39" t="s">
        <v>691</v>
      </c>
      <c r="H493" s="3">
        <f>IF(Sheet1!K501, 1, 0)
</f>
        <v>0</v>
      </c>
      <c r="I493" s="1" t="s">
        <v>692</v>
      </c>
      <c r="K493" s="39" t="s">
        <v>693</v>
      </c>
      <c r="M493" s="39" t="s">
        <v>693</v>
      </c>
    </row>
    <row r="494">
      <c r="A494" s="1" t="s">
        <v>703</v>
      </c>
      <c r="C494" s="39" t="s">
        <v>691</v>
      </c>
      <c r="G494" s="39" t="s">
        <v>691</v>
      </c>
      <c r="H494" s="3">
        <f>IF(Sheet1!K502, 1, 0)
</f>
        <v>0</v>
      </c>
      <c r="I494" s="1" t="s">
        <v>692</v>
      </c>
      <c r="K494" s="39" t="s">
        <v>693</v>
      </c>
      <c r="M494" s="39" t="s">
        <v>693</v>
      </c>
    </row>
    <row r="495">
      <c r="A495" s="1" t="s">
        <v>703</v>
      </c>
      <c r="C495" s="39" t="s">
        <v>691</v>
      </c>
      <c r="G495" s="39" t="s">
        <v>691</v>
      </c>
      <c r="H495" s="3">
        <f>IF(Sheet1!K503, 1, 0)
</f>
        <v>0</v>
      </c>
      <c r="I495" s="1" t="s">
        <v>692</v>
      </c>
      <c r="K495" s="39" t="s">
        <v>693</v>
      </c>
      <c r="M495" s="39" t="s">
        <v>693</v>
      </c>
    </row>
    <row r="496">
      <c r="A496" s="1" t="s">
        <v>703</v>
      </c>
      <c r="C496" s="39" t="s">
        <v>691</v>
      </c>
      <c r="G496" s="39" t="s">
        <v>691</v>
      </c>
      <c r="H496" s="3">
        <f>IF(Sheet1!K504, 1, 0)
</f>
        <v>0</v>
      </c>
      <c r="I496" s="1" t="s">
        <v>692</v>
      </c>
      <c r="K496" s="39" t="s">
        <v>693</v>
      </c>
      <c r="M496" s="39" t="s">
        <v>693</v>
      </c>
    </row>
    <row r="497">
      <c r="A497" s="1" t="s">
        <v>703</v>
      </c>
      <c r="C497" s="39" t="s">
        <v>691</v>
      </c>
      <c r="G497" s="39" t="s">
        <v>691</v>
      </c>
      <c r="H497" s="3">
        <f>IF(Sheet1!K505, 1, 0)
</f>
        <v>0</v>
      </c>
      <c r="I497" s="1" t="s">
        <v>692</v>
      </c>
      <c r="K497" s="39" t="s">
        <v>693</v>
      </c>
      <c r="M497" s="39" t="s">
        <v>693</v>
      </c>
    </row>
    <row r="498">
      <c r="A498" s="1" t="s">
        <v>703</v>
      </c>
      <c r="C498" s="39" t="s">
        <v>691</v>
      </c>
      <c r="G498" s="39" t="s">
        <v>691</v>
      </c>
      <c r="H498" s="3">
        <f>IF(Sheet1!K506, 1, 0)
</f>
        <v>0</v>
      </c>
      <c r="I498" s="1" t="s">
        <v>692</v>
      </c>
      <c r="K498" s="39" t="s">
        <v>693</v>
      </c>
      <c r="M498" s="39" t="s">
        <v>693</v>
      </c>
    </row>
    <row r="499">
      <c r="A499" s="1" t="s">
        <v>703</v>
      </c>
      <c r="C499" s="39" t="s">
        <v>691</v>
      </c>
      <c r="G499" s="39" t="s">
        <v>691</v>
      </c>
      <c r="H499" s="3">
        <f>IF(Sheet1!K507, 1, 0)
</f>
        <v>0</v>
      </c>
      <c r="I499" s="1" t="s">
        <v>692</v>
      </c>
      <c r="K499" s="39" t="s">
        <v>693</v>
      </c>
      <c r="M499" s="39" t="s">
        <v>693</v>
      </c>
    </row>
    <row r="500">
      <c r="A500" s="1" t="s">
        <v>703</v>
      </c>
      <c r="C500" s="39" t="s">
        <v>691</v>
      </c>
      <c r="G500" s="39" t="s">
        <v>691</v>
      </c>
      <c r="H500" s="3">
        <f>IF(Sheet1!K508, 1, 0)
</f>
        <v>0</v>
      </c>
      <c r="I500" s="1" t="s">
        <v>692</v>
      </c>
      <c r="K500" s="39" t="s">
        <v>693</v>
      </c>
      <c r="M500" s="39" t="s">
        <v>693</v>
      </c>
    </row>
    <row r="501">
      <c r="A501" s="1" t="s">
        <v>703</v>
      </c>
      <c r="C501" s="39" t="s">
        <v>691</v>
      </c>
      <c r="G501" s="39" t="s">
        <v>691</v>
      </c>
      <c r="H501" s="3">
        <f>IF(Sheet1!K509, 1, 0)
</f>
        <v>0</v>
      </c>
      <c r="I501" s="1" t="s">
        <v>692</v>
      </c>
      <c r="K501" s="39" t="s">
        <v>693</v>
      </c>
      <c r="M501" s="39" t="s">
        <v>693</v>
      </c>
    </row>
    <row r="502">
      <c r="A502" s="1" t="s">
        <v>703</v>
      </c>
      <c r="C502" s="39" t="s">
        <v>691</v>
      </c>
      <c r="G502" s="39" t="s">
        <v>691</v>
      </c>
      <c r="H502" s="3">
        <f>IF(Sheet1!K510, 1, 0)
</f>
        <v>0</v>
      </c>
      <c r="I502" s="1" t="s">
        <v>692</v>
      </c>
      <c r="K502" s="39" t="s">
        <v>693</v>
      </c>
      <c r="M502" s="39" t="s">
        <v>693</v>
      </c>
    </row>
    <row r="503">
      <c r="A503" s="1" t="s">
        <v>703</v>
      </c>
      <c r="C503" s="39" t="s">
        <v>691</v>
      </c>
      <c r="G503" s="39" t="s">
        <v>691</v>
      </c>
      <c r="H503" s="3">
        <f>IF(Sheet1!K511, 1, 0)
</f>
        <v>0</v>
      </c>
      <c r="I503" s="1" t="s">
        <v>692</v>
      </c>
      <c r="K503" s="39" t="s">
        <v>693</v>
      </c>
      <c r="M503" s="39" t="s">
        <v>693</v>
      </c>
    </row>
    <row r="504">
      <c r="A504" s="1" t="s">
        <v>703</v>
      </c>
      <c r="C504" s="39" t="s">
        <v>691</v>
      </c>
      <c r="G504" s="39" t="s">
        <v>691</v>
      </c>
      <c r="H504" s="3">
        <f>IF(Sheet1!K512, 1, 0)
</f>
        <v>0</v>
      </c>
      <c r="I504" s="1" t="s">
        <v>692</v>
      </c>
      <c r="K504" s="39" t="s">
        <v>693</v>
      </c>
      <c r="M504" s="39" t="s">
        <v>693</v>
      </c>
    </row>
    <row r="505">
      <c r="A505" s="1" t="s">
        <v>703</v>
      </c>
      <c r="C505" s="39" t="s">
        <v>691</v>
      </c>
      <c r="G505" s="39" t="s">
        <v>691</v>
      </c>
      <c r="H505" s="3">
        <f>IF(Sheet1!K513, 1, 0)
</f>
        <v>0</v>
      </c>
      <c r="I505" s="1" t="s">
        <v>692</v>
      </c>
      <c r="K505" s="39" t="s">
        <v>693</v>
      </c>
      <c r="M505" s="39" t="s">
        <v>693</v>
      </c>
    </row>
    <row r="506">
      <c r="A506" s="1" t="s">
        <v>703</v>
      </c>
      <c r="C506" s="39" t="s">
        <v>691</v>
      </c>
      <c r="G506" s="39" t="s">
        <v>691</v>
      </c>
      <c r="H506" s="3">
        <f>IF(Sheet1!K514, 1, 0)
</f>
        <v>0</v>
      </c>
      <c r="I506" s="1" t="s">
        <v>692</v>
      </c>
      <c r="K506" s="39" t="s">
        <v>693</v>
      </c>
      <c r="M506" s="39" t="s">
        <v>693</v>
      </c>
    </row>
    <row r="507">
      <c r="A507" s="1" t="s">
        <v>703</v>
      </c>
      <c r="C507" s="39" t="s">
        <v>691</v>
      </c>
      <c r="G507" s="39" t="s">
        <v>691</v>
      </c>
      <c r="H507" s="3">
        <f>IF(Sheet1!K515, 1, 0)
</f>
        <v>0</v>
      </c>
      <c r="I507" s="1" t="s">
        <v>692</v>
      </c>
      <c r="K507" s="39" t="s">
        <v>693</v>
      </c>
      <c r="M507" s="39" t="s">
        <v>693</v>
      </c>
    </row>
    <row r="508">
      <c r="A508" s="1" t="s">
        <v>703</v>
      </c>
      <c r="C508" s="39" t="s">
        <v>691</v>
      </c>
      <c r="G508" s="39" t="s">
        <v>691</v>
      </c>
      <c r="H508" s="3">
        <f>IF(Sheet1!K516, 1, 0)
</f>
        <v>0</v>
      </c>
      <c r="I508" s="1" t="s">
        <v>692</v>
      </c>
      <c r="K508" s="39" t="s">
        <v>693</v>
      </c>
      <c r="M508" s="39" t="s">
        <v>693</v>
      </c>
    </row>
    <row r="509">
      <c r="A509" s="1" t="s">
        <v>703</v>
      </c>
      <c r="C509" s="39" t="s">
        <v>691</v>
      </c>
      <c r="G509" s="39" t="s">
        <v>691</v>
      </c>
      <c r="H509" s="3">
        <f>IF(Sheet1!K517, 1, 0)
</f>
        <v>0</v>
      </c>
      <c r="I509" s="1" t="s">
        <v>692</v>
      </c>
      <c r="K509" s="39" t="s">
        <v>693</v>
      </c>
      <c r="M509" s="39" t="s">
        <v>693</v>
      </c>
    </row>
    <row r="510">
      <c r="A510" s="1" t="s">
        <v>703</v>
      </c>
      <c r="C510" s="39" t="s">
        <v>691</v>
      </c>
      <c r="G510" s="39" t="s">
        <v>691</v>
      </c>
      <c r="H510" s="3">
        <f>IF(Sheet1!K518, 1, 0)
</f>
        <v>0</v>
      </c>
      <c r="I510" s="1" t="s">
        <v>692</v>
      </c>
      <c r="K510" s="39" t="s">
        <v>693</v>
      </c>
      <c r="M510" s="39" t="s">
        <v>693</v>
      </c>
    </row>
    <row r="511">
      <c r="A511" s="1" t="s">
        <v>703</v>
      </c>
      <c r="C511" s="39" t="s">
        <v>691</v>
      </c>
      <c r="G511" s="39" t="s">
        <v>691</v>
      </c>
      <c r="H511" s="3">
        <f>IF(Sheet1!K519, 1, 0)
</f>
        <v>0</v>
      </c>
      <c r="I511" s="1" t="s">
        <v>692</v>
      </c>
      <c r="K511" s="39" t="s">
        <v>693</v>
      </c>
      <c r="M511" s="39" t="s">
        <v>693</v>
      </c>
    </row>
    <row r="512">
      <c r="A512" s="1" t="s">
        <v>703</v>
      </c>
      <c r="C512" s="39" t="s">
        <v>691</v>
      </c>
      <c r="G512" s="39" t="s">
        <v>691</v>
      </c>
      <c r="H512" s="3">
        <f>IF(Sheet1!K520, 1, 0)
</f>
        <v>0</v>
      </c>
      <c r="I512" s="1" t="s">
        <v>692</v>
      </c>
      <c r="K512" s="39" t="s">
        <v>693</v>
      </c>
      <c r="M512" s="39" t="s">
        <v>693</v>
      </c>
    </row>
    <row r="513">
      <c r="A513" s="1" t="s">
        <v>703</v>
      </c>
      <c r="C513" s="39" t="s">
        <v>691</v>
      </c>
      <c r="G513" s="39" t="s">
        <v>691</v>
      </c>
      <c r="H513" s="3">
        <f>IF(Sheet1!K521, 1, 0)
</f>
        <v>0</v>
      </c>
      <c r="I513" s="1" t="s">
        <v>692</v>
      </c>
      <c r="K513" s="39" t="s">
        <v>693</v>
      </c>
      <c r="M513" s="39" t="s">
        <v>693</v>
      </c>
    </row>
    <row r="514">
      <c r="A514" s="1" t="s">
        <v>703</v>
      </c>
      <c r="C514" s="39" t="s">
        <v>691</v>
      </c>
      <c r="G514" s="39" t="s">
        <v>691</v>
      </c>
      <c r="H514" s="3">
        <f>IF(Sheet1!K522, 1, 0)
</f>
        <v>0</v>
      </c>
      <c r="I514" s="1" t="s">
        <v>692</v>
      </c>
      <c r="K514" s="39" t="s">
        <v>693</v>
      </c>
      <c r="M514" s="39" t="s">
        <v>693</v>
      </c>
    </row>
    <row r="515">
      <c r="A515" s="1" t="s">
        <v>703</v>
      </c>
      <c r="C515" s="39" t="s">
        <v>691</v>
      </c>
      <c r="G515" s="39" t="s">
        <v>691</v>
      </c>
      <c r="H515" s="3">
        <f>IF(Sheet1!K523, 1, 0)
</f>
        <v>0</v>
      </c>
      <c r="I515" s="1" t="s">
        <v>692</v>
      </c>
      <c r="K515" s="39" t="s">
        <v>693</v>
      </c>
      <c r="M515" s="39" t="s">
        <v>693</v>
      </c>
    </row>
    <row r="516">
      <c r="A516" s="1" t="s">
        <v>703</v>
      </c>
      <c r="C516" s="39" t="s">
        <v>691</v>
      </c>
      <c r="G516" s="39" t="s">
        <v>691</v>
      </c>
      <c r="H516" s="3">
        <f>IF(Sheet1!K524, 1, 0)
</f>
        <v>0</v>
      </c>
      <c r="I516" s="1" t="s">
        <v>692</v>
      </c>
      <c r="K516" s="39" t="s">
        <v>693</v>
      </c>
      <c r="M516" s="39" t="s">
        <v>693</v>
      </c>
    </row>
    <row r="517">
      <c r="A517" s="1" t="s">
        <v>703</v>
      </c>
      <c r="C517" s="39" t="s">
        <v>691</v>
      </c>
      <c r="G517" s="39" t="s">
        <v>691</v>
      </c>
      <c r="H517" s="3">
        <f>IF(Sheet1!K525, 1, 0)
</f>
        <v>0</v>
      </c>
      <c r="I517" s="1" t="s">
        <v>692</v>
      </c>
      <c r="K517" s="39" t="s">
        <v>693</v>
      </c>
      <c r="M517" s="39" t="s">
        <v>693</v>
      </c>
    </row>
    <row r="518">
      <c r="A518" s="1" t="s">
        <v>703</v>
      </c>
      <c r="C518" s="39" t="s">
        <v>691</v>
      </c>
      <c r="G518" s="39" t="s">
        <v>691</v>
      </c>
      <c r="H518" s="3">
        <f>IF(Sheet1!K526, 1, 0)
</f>
        <v>0</v>
      </c>
      <c r="I518" s="1" t="s">
        <v>692</v>
      </c>
      <c r="K518" s="39" t="s">
        <v>693</v>
      </c>
      <c r="M518" s="39" t="s">
        <v>693</v>
      </c>
    </row>
    <row r="519">
      <c r="A519" s="1" t="s">
        <v>703</v>
      </c>
      <c r="C519" s="39" t="s">
        <v>691</v>
      </c>
      <c r="G519" s="39" t="s">
        <v>691</v>
      </c>
      <c r="H519" s="3">
        <f>IF(Sheet1!K527, 1, 0)
</f>
        <v>0</v>
      </c>
      <c r="I519" s="1" t="s">
        <v>692</v>
      </c>
      <c r="K519" s="39" t="s">
        <v>693</v>
      </c>
      <c r="M519" s="39" t="s">
        <v>693</v>
      </c>
    </row>
    <row r="520">
      <c r="A520" s="1" t="s">
        <v>703</v>
      </c>
      <c r="C520" s="39" t="s">
        <v>691</v>
      </c>
      <c r="G520" s="39" t="s">
        <v>691</v>
      </c>
      <c r="H520" s="3">
        <f>IF(Sheet1!K528, 1, 0)
</f>
        <v>0</v>
      </c>
      <c r="I520" s="1" t="s">
        <v>692</v>
      </c>
      <c r="K520" s="39" t="s">
        <v>693</v>
      </c>
      <c r="M520" s="39" t="s">
        <v>693</v>
      </c>
    </row>
    <row r="521">
      <c r="A521" s="1" t="s">
        <v>703</v>
      </c>
      <c r="C521" s="39" t="s">
        <v>691</v>
      </c>
      <c r="G521" s="39" t="s">
        <v>691</v>
      </c>
      <c r="H521" s="3">
        <f>IF(Sheet1!K529, 1, 0)
</f>
        <v>0</v>
      </c>
      <c r="I521" s="1" t="s">
        <v>692</v>
      </c>
      <c r="K521" s="39" t="s">
        <v>693</v>
      </c>
      <c r="M521" s="39" t="s">
        <v>693</v>
      </c>
    </row>
    <row r="522">
      <c r="A522" s="1" t="s">
        <v>703</v>
      </c>
      <c r="C522" s="39" t="s">
        <v>691</v>
      </c>
      <c r="G522" s="39" t="s">
        <v>691</v>
      </c>
      <c r="H522" s="3">
        <f>IF(Sheet1!K530, 1, 0)
</f>
        <v>0</v>
      </c>
      <c r="I522" s="1" t="s">
        <v>692</v>
      </c>
      <c r="K522" s="39" t="s">
        <v>693</v>
      </c>
      <c r="M522" s="39" t="s">
        <v>693</v>
      </c>
    </row>
    <row r="523">
      <c r="A523" s="1" t="s">
        <v>703</v>
      </c>
      <c r="C523" s="39" t="s">
        <v>691</v>
      </c>
      <c r="G523" s="39" t="s">
        <v>691</v>
      </c>
      <c r="H523" s="3">
        <f>IF(Sheet1!K531, 1, 0)
</f>
        <v>0</v>
      </c>
      <c r="I523" s="1" t="s">
        <v>692</v>
      </c>
      <c r="K523" s="39" t="s">
        <v>693</v>
      </c>
      <c r="M523" s="39" t="s">
        <v>693</v>
      </c>
    </row>
    <row r="524">
      <c r="A524" s="1" t="s">
        <v>703</v>
      </c>
      <c r="C524" s="39" t="s">
        <v>691</v>
      </c>
      <c r="G524" s="39" t="s">
        <v>691</v>
      </c>
      <c r="H524" s="3">
        <f>IF(Sheet1!K532, 1, 0)
</f>
        <v>0</v>
      </c>
      <c r="I524" s="1" t="s">
        <v>692</v>
      </c>
      <c r="K524" s="39" t="s">
        <v>693</v>
      </c>
      <c r="M524" s="39" t="s">
        <v>693</v>
      </c>
    </row>
    <row r="525">
      <c r="A525" s="1" t="s">
        <v>703</v>
      </c>
      <c r="C525" s="39" t="s">
        <v>691</v>
      </c>
      <c r="G525" s="39" t="s">
        <v>691</v>
      </c>
      <c r="H525" s="3">
        <f>IF(Sheet1!K533, 1, 0)
</f>
        <v>0</v>
      </c>
      <c r="I525" s="1" t="s">
        <v>692</v>
      </c>
      <c r="K525" s="39" t="s">
        <v>693</v>
      </c>
      <c r="M525" s="39" t="s">
        <v>693</v>
      </c>
    </row>
    <row r="526">
      <c r="A526" s="1" t="s">
        <v>703</v>
      </c>
      <c r="C526" s="39" t="s">
        <v>691</v>
      </c>
      <c r="G526" s="39" t="s">
        <v>691</v>
      </c>
      <c r="H526" s="3">
        <f>IF(Sheet1!K534, 1, 0)
</f>
        <v>0</v>
      </c>
      <c r="I526" s="1" t="s">
        <v>692</v>
      </c>
      <c r="K526" s="39" t="s">
        <v>693</v>
      </c>
      <c r="M526" s="39" t="s">
        <v>693</v>
      </c>
    </row>
    <row r="527">
      <c r="A527" s="1" t="s">
        <v>703</v>
      </c>
      <c r="C527" s="39" t="s">
        <v>691</v>
      </c>
      <c r="G527" s="39" t="s">
        <v>691</v>
      </c>
      <c r="H527" s="3">
        <f>IF(Sheet1!K535, 1, 0)
</f>
        <v>0</v>
      </c>
      <c r="I527" s="1" t="s">
        <v>692</v>
      </c>
      <c r="K527" s="39" t="s">
        <v>693</v>
      </c>
      <c r="M527" s="39" t="s">
        <v>693</v>
      </c>
    </row>
    <row r="528">
      <c r="A528" s="1" t="s">
        <v>703</v>
      </c>
      <c r="C528" s="39" t="s">
        <v>691</v>
      </c>
      <c r="G528" s="39" t="s">
        <v>691</v>
      </c>
      <c r="H528" s="3">
        <f>IF(Sheet1!K536, 1, 0)
</f>
        <v>0</v>
      </c>
      <c r="I528" s="1" t="s">
        <v>692</v>
      </c>
      <c r="K528" s="39" t="s">
        <v>693</v>
      </c>
      <c r="M528" s="39" t="s">
        <v>693</v>
      </c>
    </row>
    <row r="529">
      <c r="A529" s="1" t="s">
        <v>703</v>
      </c>
      <c r="C529" s="39" t="s">
        <v>691</v>
      </c>
      <c r="G529" s="39" t="s">
        <v>691</v>
      </c>
      <c r="H529" s="3">
        <f>IF(Sheet1!K537, 1, 0)
</f>
        <v>0</v>
      </c>
      <c r="I529" s="1" t="s">
        <v>692</v>
      </c>
      <c r="K529" s="39" t="s">
        <v>693</v>
      </c>
      <c r="M529" s="39" t="s">
        <v>693</v>
      </c>
    </row>
    <row r="530">
      <c r="A530" s="1" t="s">
        <v>703</v>
      </c>
      <c r="C530" s="39" t="s">
        <v>691</v>
      </c>
      <c r="G530" s="39" t="s">
        <v>691</v>
      </c>
      <c r="H530" s="3">
        <f>IF(Sheet1!K538, 1, 0)
</f>
        <v>0</v>
      </c>
      <c r="I530" s="1" t="s">
        <v>692</v>
      </c>
      <c r="K530" s="39" t="s">
        <v>693</v>
      </c>
      <c r="M530" s="39" t="s">
        <v>693</v>
      </c>
    </row>
    <row r="531">
      <c r="A531" s="1" t="s">
        <v>703</v>
      </c>
      <c r="C531" s="39" t="s">
        <v>691</v>
      </c>
      <c r="G531" s="39" t="s">
        <v>691</v>
      </c>
      <c r="H531" s="3">
        <f>IF(Sheet1!K539, 1, 0)
</f>
        <v>0</v>
      </c>
      <c r="I531" s="1" t="s">
        <v>692</v>
      </c>
      <c r="K531" s="39" t="s">
        <v>693</v>
      </c>
      <c r="M531" s="39" t="s">
        <v>693</v>
      </c>
    </row>
    <row r="532">
      <c r="A532" s="1" t="s">
        <v>703</v>
      </c>
      <c r="C532" s="39" t="s">
        <v>691</v>
      </c>
      <c r="G532" s="39" t="s">
        <v>691</v>
      </c>
      <c r="H532" s="3">
        <f>IF(Sheet1!K540, 1, 0)
</f>
        <v>0</v>
      </c>
      <c r="I532" s="1" t="s">
        <v>692</v>
      </c>
      <c r="K532" s="39" t="s">
        <v>693</v>
      </c>
      <c r="M532" s="39" t="s">
        <v>693</v>
      </c>
    </row>
    <row r="533">
      <c r="A533" s="1" t="s">
        <v>703</v>
      </c>
      <c r="C533" s="39" t="s">
        <v>691</v>
      </c>
      <c r="G533" s="39" t="s">
        <v>691</v>
      </c>
      <c r="H533" s="3">
        <f>IF(Sheet1!K541, 1, 0)
</f>
        <v>0</v>
      </c>
      <c r="I533" s="1" t="s">
        <v>692</v>
      </c>
      <c r="K533" s="39" t="s">
        <v>693</v>
      </c>
      <c r="M533" s="39" t="s">
        <v>693</v>
      </c>
    </row>
    <row r="534">
      <c r="A534" s="1" t="s">
        <v>703</v>
      </c>
      <c r="C534" s="39" t="s">
        <v>691</v>
      </c>
      <c r="G534" s="39" t="s">
        <v>691</v>
      </c>
      <c r="H534" s="3">
        <f>IF(Sheet1!K542, 1, 0)
</f>
        <v>0</v>
      </c>
      <c r="I534" s="1" t="s">
        <v>692</v>
      </c>
      <c r="K534" s="39" t="s">
        <v>693</v>
      </c>
      <c r="M534" s="39" t="s">
        <v>693</v>
      </c>
    </row>
    <row r="535">
      <c r="A535" s="1" t="s">
        <v>703</v>
      </c>
      <c r="C535" s="39" t="s">
        <v>691</v>
      </c>
      <c r="G535" s="39" t="s">
        <v>691</v>
      </c>
      <c r="H535" s="3">
        <f>IF(Sheet1!K543, 1, 0)
</f>
        <v>0</v>
      </c>
      <c r="I535" s="1" t="s">
        <v>692</v>
      </c>
      <c r="K535" s="39" t="s">
        <v>693</v>
      </c>
      <c r="M535" s="39" t="s">
        <v>693</v>
      </c>
    </row>
    <row r="536">
      <c r="A536" s="1" t="s">
        <v>703</v>
      </c>
      <c r="C536" s="39" t="s">
        <v>691</v>
      </c>
      <c r="G536" s="39" t="s">
        <v>691</v>
      </c>
      <c r="H536" s="3">
        <f>IF(Sheet1!K544, 1, 0)
</f>
        <v>0</v>
      </c>
      <c r="I536" s="1" t="s">
        <v>692</v>
      </c>
      <c r="K536" s="39" t="s">
        <v>693</v>
      </c>
      <c r="M536" s="39" t="s">
        <v>693</v>
      </c>
    </row>
    <row r="537">
      <c r="A537" s="1" t="s">
        <v>703</v>
      </c>
      <c r="C537" s="39" t="s">
        <v>691</v>
      </c>
      <c r="G537" s="39" t="s">
        <v>691</v>
      </c>
      <c r="H537" s="3">
        <f>IF(Sheet1!K545, 1, 0)
</f>
        <v>0</v>
      </c>
      <c r="I537" s="1" t="s">
        <v>692</v>
      </c>
      <c r="K537" s="39" t="s">
        <v>693</v>
      </c>
      <c r="M537" s="39" t="s">
        <v>693</v>
      </c>
    </row>
    <row r="538">
      <c r="A538" s="1" t="s">
        <v>703</v>
      </c>
      <c r="C538" s="39" t="s">
        <v>691</v>
      </c>
      <c r="G538" s="39" t="s">
        <v>691</v>
      </c>
      <c r="H538" s="3">
        <f>IF(Sheet1!K546, 1, 0)
</f>
        <v>0</v>
      </c>
      <c r="I538" s="1" t="s">
        <v>692</v>
      </c>
      <c r="K538" s="39" t="s">
        <v>693</v>
      </c>
      <c r="M538" s="39" t="s">
        <v>693</v>
      </c>
    </row>
    <row r="539">
      <c r="A539" s="1" t="s">
        <v>703</v>
      </c>
      <c r="C539" s="39" t="s">
        <v>691</v>
      </c>
      <c r="G539" s="39" t="s">
        <v>691</v>
      </c>
      <c r="H539" s="3">
        <f>IF(Sheet1!K547, 1, 0)
</f>
        <v>0</v>
      </c>
      <c r="I539" s="1" t="s">
        <v>692</v>
      </c>
      <c r="K539" s="39" t="s">
        <v>693</v>
      </c>
      <c r="M539" s="39" t="s">
        <v>693</v>
      </c>
    </row>
    <row r="540">
      <c r="A540" s="1" t="s">
        <v>703</v>
      </c>
      <c r="C540" s="39" t="s">
        <v>691</v>
      </c>
      <c r="G540" s="39" t="s">
        <v>691</v>
      </c>
      <c r="H540" s="3">
        <f>IF(Sheet1!K548, 1, 0)
</f>
        <v>0</v>
      </c>
      <c r="I540" s="1" t="s">
        <v>692</v>
      </c>
      <c r="K540" s="39" t="s">
        <v>693</v>
      </c>
      <c r="M540" s="39" t="s">
        <v>693</v>
      </c>
    </row>
    <row r="541">
      <c r="A541" s="1" t="s">
        <v>703</v>
      </c>
      <c r="C541" s="39" t="s">
        <v>691</v>
      </c>
      <c r="G541" s="39" t="s">
        <v>691</v>
      </c>
      <c r="H541" s="3">
        <f>IF(Sheet1!K549, 1, 0)
</f>
        <v>0</v>
      </c>
      <c r="I541" s="1" t="s">
        <v>692</v>
      </c>
      <c r="K541" s="39" t="s">
        <v>693</v>
      </c>
      <c r="M541" s="39" t="s">
        <v>693</v>
      </c>
    </row>
    <row r="542">
      <c r="A542" s="1" t="s">
        <v>703</v>
      </c>
      <c r="C542" s="39" t="s">
        <v>691</v>
      </c>
      <c r="G542" s="39" t="s">
        <v>691</v>
      </c>
      <c r="H542" s="3">
        <f>IF(Sheet1!K550, 1, 0)
</f>
        <v>0</v>
      </c>
      <c r="I542" s="1" t="s">
        <v>692</v>
      </c>
      <c r="K542" s="39" t="s">
        <v>693</v>
      </c>
      <c r="M542" s="39" t="s">
        <v>693</v>
      </c>
    </row>
    <row r="543">
      <c r="A543" s="1" t="s">
        <v>703</v>
      </c>
      <c r="C543" s="39" t="s">
        <v>691</v>
      </c>
      <c r="G543" s="39" t="s">
        <v>691</v>
      </c>
      <c r="H543" s="3">
        <f>IF(Sheet1!K551, 1, 0)
</f>
        <v>0</v>
      </c>
      <c r="I543" s="1" t="s">
        <v>692</v>
      </c>
      <c r="K543" s="39" t="s">
        <v>693</v>
      </c>
      <c r="M543" s="39" t="s">
        <v>693</v>
      </c>
    </row>
    <row r="544">
      <c r="A544" s="1" t="s">
        <v>703</v>
      </c>
      <c r="C544" s="39" t="s">
        <v>691</v>
      </c>
      <c r="G544" s="39" t="s">
        <v>691</v>
      </c>
      <c r="H544" s="3">
        <f>IF(Sheet1!K552, 1, 0)
</f>
        <v>0</v>
      </c>
      <c r="I544" s="1" t="s">
        <v>692</v>
      </c>
      <c r="K544" s="39" t="s">
        <v>693</v>
      </c>
      <c r="M544" s="39" t="s">
        <v>693</v>
      </c>
    </row>
    <row r="545">
      <c r="A545" s="1" t="s">
        <v>703</v>
      </c>
      <c r="C545" s="39" t="s">
        <v>691</v>
      </c>
      <c r="G545" s="39" t="s">
        <v>691</v>
      </c>
      <c r="H545" s="3">
        <f>IF(Sheet1!K553, 1, 0)
</f>
        <v>0</v>
      </c>
      <c r="I545" s="1" t="s">
        <v>692</v>
      </c>
      <c r="K545" s="39" t="s">
        <v>693</v>
      </c>
      <c r="M545" s="39" t="s">
        <v>693</v>
      </c>
    </row>
    <row r="546">
      <c r="A546" s="1" t="s">
        <v>703</v>
      </c>
      <c r="C546" s="39" t="s">
        <v>691</v>
      </c>
      <c r="G546" s="39" t="s">
        <v>691</v>
      </c>
      <c r="H546" s="3">
        <f>IF(Sheet1!K554, 1, 0)
</f>
        <v>0</v>
      </c>
      <c r="I546" s="1" t="s">
        <v>692</v>
      </c>
      <c r="K546" s="39" t="s">
        <v>693</v>
      </c>
      <c r="M546" s="39" t="s">
        <v>693</v>
      </c>
    </row>
    <row r="547">
      <c r="A547" s="1" t="s">
        <v>703</v>
      </c>
      <c r="C547" s="39" t="s">
        <v>691</v>
      </c>
      <c r="G547" s="39" t="s">
        <v>691</v>
      </c>
      <c r="H547" s="3">
        <f>IF(Sheet1!K555, 1, 0)
</f>
        <v>0</v>
      </c>
      <c r="I547" s="1" t="s">
        <v>692</v>
      </c>
      <c r="K547" s="39" t="s">
        <v>693</v>
      </c>
      <c r="M547" s="39" t="s">
        <v>693</v>
      </c>
    </row>
    <row r="548">
      <c r="A548" s="1" t="s">
        <v>703</v>
      </c>
      <c r="C548" s="39" t="s">
        <v>691</v>
      </c>
      <c r="G548" s="39" t="s">
        <v>691</v>
      </c>
      <c r="H548" s="3">
        <f>IF(Sheet1!K556, 1, 0)
</f>
        <v>0</v>
      </c>
      <c r="I548" s="1" t="s">
        <v>692</v>
      </c>
      <c r="K548" s="39" t="s">
        <v>693</v>
      </c>
      <c r="M548" s="39" t="s">
        <v>693</v>
      </c>
    </row>
    <row r="549">
      <c r="A549" s="1" t="s">
        <v>703</v>
      </c>
      <c r="C549" s="39" t="s">
        <v>691</v>
      </c>
      <c r="G549" s="39" t="s">
        <v>691</v>
      </c>
      <c r="H549" s="3">
        <f>IF(Sheet1!K557, 1, 0)
</f>
        <v>0</v>
      </c>
      <c r="I549" s="1" t="s">
        <v>692</v>
      </c>
      <c r="K549" s="39" t="s">
        <v>693</v>
      </c>
      <c r="M549" s="39" t="s">
        <v>693</v>
      </c>
    </row>
    <row r="550">
      <c r="A550" s="1" t="s">
        <v>703</v>
      </c>
      <c r="C550" s="39" t="s">
        <v>691</v>
      </c>
      <c r="G550" s="39" t="s">
        <v>691</v>
      </c>
      <c r="H550" s="3">
        <f>IF(Sheet1!K558, 1, 0)
</f>
        <v>0</v>
      </c>
      <c r="I550" s="1" t="s">
        <v>692</v>
      </c>
      <c r="K550" s="39" t="s">
        <v>693</v>
      </c>
      <c r="M550" s="39" t="s">
        <v>693</v>
      </c>
    </row>
    <row r="551">
      <c r="A551" s="1" t="s">
        <v>703</v>
      </c>
      <c r="C551" s="39" t="s">
        <v>691</v>
      </c>
      <c r="G551" s="39" t="s">
        <v>691</v>
      </c>
      <c r="H551" s="3">
        <f>IF(Sheet1!K559, 1, 0)
</f>
        <v>0</v>
      </c>
      <c r="I551" s="1" t="s">
        <v>692</v>
      </c>
      <c r="K551" s="39" t="s">
        <v>693</v>
      </c>
      <c r="M551" s="39" t="s">
        <v>693</v>
      </c>
    </row>
    <row r="552">
      <c r="A552" s="1" t="s">
        <v>703</v>
      </c>
      <c r="C552" s="39" t="s">
        <v>691</v>
      </c>
      <c r="G552" s="39" t="s">
        <v>691</v>
      </c>
      <c r="H552" s="3">
        <f>IF(Sheet1!K560, 1, 0)
</f>
        <v>0</v>
      </c>
      <c r="I552" s="1" t="s">
        <v>692</v>
      </c>
      <c r="K552" s="39" t="s">
        <v>693</v>
      </c>
      <c r="M552" s="39" t="s">
        <v>693</v>
      </c>
    </row>
    <row r="553">
      <c r="A553" s="1" t="s">
        <v>703</v>
      </c>
      <c r="C553" s="39" t="s">
        <v>691</v>
      </c>
      <c r="G553" s="39" t="s">
        <v>691</v>
      </c>
      <c r="H553" s="3">
        <f>IF(Sheet1!K561, 1, 0)
</f>
        <v>0</v>
      </c>
      <c r="I553" s="1" t="s">
        <v>692</v>
      </c>
      <c r="K553" s="39" t="s">
        <v>693</v>
      </c>
      <c r="M553" s="39" t="s">
        <v>693</v>
      </c>
    </row>
    <row r="554">
      <c r="A554" s="1" t="s">
        <v>703</v>
      </c>
      <c r="C554" s="39" t="s">
        <v>691</v>
      </c>
      <c r="G554" s="39" t="s">
        <v>691</v>
      </c>
      <c r="H554" s="3">
        <f>IF(Sheet1!K562, 1, 0)
</f>
        <v>0</v>
      </c>
      <c r="I554" s="1" t="s">
        <v>692</v>
      </c>
      <c r="K554" s="39" t="s">
        <v>693</v>
      </c>
      <c r="M554" s="39" t="s">
        <v>693</v>
      </c>
    </row>
    <row r="555">
      <c r="A555" s="1" t="s">
        <v>703</v>
      </c>
      <c r="C555" s="39" t="s">
        <v>691</v>
      </c>
      <c r="G555" s="39" t="s">
        <v>691</v>
      </c>
      <c r="H555" s="3">
        <f>IF(Sheet1!K563, 1, 0)
</f>
        <v>0</v>
      </c>
      <c r="I555" s="1" t="s">
        <v>692</v>
      </c>
      <c r="K555" s="39" t="s">
        <v>693</v>
      </c>
      <c r="M555" s="39" t="s">
        <v>693</v>
      </c>
    </row>
    <row r="556">
      <c r="A556" s="1" t="s">
        <v>703</v>
      </c>
      <c r="C556" s="39" t="s">
        <v>691</v>
      </c>
      <c r="G556" s="39" t="s">
        <v>691</v>
      </c>
      <c r="H556" s="3">
        <f>IF(Sheet1!K564, 1, 0)
</f>
        <v>0</v>
      </c>
      <c r="I556" s="1" t="s">
        <v>692</v>
      </c>
      <c r="K556" s="39" t="s">
        <v>693</v>
      </c>
      <c r="M556" s="39" t="s">
        <v>693</v>
      </c>
    </row>
    <row r="557">
      <c r="A557" s="1" t="s">
        <v>703</v>
      </c>
      <c r="C557" s="39" t="s">
        <v>691</v>
      </c>
      <c r="G557" s="39" t="s">
        <v>691</v>
      </c>
      <c r="H557" s="3">
        <f>IF(Sheet1!K565, 1, 0)
</f>
        <v>0</v>
      </c>
      <c r="I557" s="1" t="s">
        <v>692</v>
      </c>
      <c r="K557" s="39" t="s">
        <v>693</v>
      </c>
      <c r="M557" s="39" t="s">
        <v>693</v>
      </c>
    </row>
    <row r="558">
      <c r="A558" s="1" t="s">
        <v>703</v>
      </c>
      <c r="C558" s="39" t="s">
        <v>691</v>
      </c>
      <c r="G558" s="39" t="s">
        <v>691</v>
      </c>
      <c r="H558" s="3">
        <f>IF(Sheet1!K566, 1, 0)
</f>
        <v>0</v>
      </c>
      <c r="I558" s="1" t="s">
        <v>692</v>
      </c>
      <c r="K558" s="39" t="s">
        <v>693</v>
      </c>
      <c r="M558" s="39" t="s">
        <v>693</v>
      </c>
    </row>
    <row r="559">
      <c r="A559" s="1" t="s">
        <v>703</v>
      </c>
      <c r="C559" s="39" t="s">
        <v>691</v>
      </c>
      <c r="G559" s="39" t="s">
        <v>691</v>
      </c>
      <c r="H559" s="3">
        <f>IF(Sheet1!K567, 1, 0)
</f>
        <v>0</v>
      </c>
      <c r="I559" s="1" t="s">
        <v>692</v>
      </c>
      <c r="K559" s="39" t="s">
        <v>693</v>
      </c>
      <c r="M559" s="39" t="s">
        <v>693</v>
      </c>
    </row>
    <row r="560">
      <c r="A560" s="1" t="s">
        <v>703</v>
      </c>
      <c r="C560" s="39" t="s">
        <v>691</v>
      </c>
      <c r="G560" s="39" t="s">
        <v>691</v>
      </c>
      <c r="H560" s="3">
        <f>IF(Sheet1!K568, 1, 0)
</f>
        <v>0</v>
      </c>
      <c r="I560" s="1" t="s">
        <v>692</v>
      </c>
      <c r="K560" s="39" t="s">
        <v>693</v>
      </c>
      <c r="M560" s="39" t="s">
        <v>693</v>
      </c>
    </row>
    <row r="561">
      <c r="A561" s="1" t="s">
        <v>703</v>
      </c>
      <c r="C561" s="39" t="s">
        <v>691</v>
      </c>
      <c r="G561" s="39" t="s">
        <v>691</v>
      </c>
      <c r="H561" s="3">
        <f>IF(Sheet1!K569, 1, 0)
</f>
        <v>0</v>
      </c>
      <c r="I561" s="1" t="s">
        <v>692</v>
      </c>
      <c r="K561" s="39" t="s">
        <v>693</v>
      </c>
      <c r="M561" s="39" t="s">
        <v>693</v>
      </c>
    </row>
    <row r="562">
      <c r="A562" s="1" t="s">
        <v>703</v>
      </c>
      <c r="C562" s="39" t="s">
        <v>691</v>
      </c>
      <c r="G562" s="39" t="s">
        <v>691</v>
      </c>
      <c r="H562" s="3">
        <f>IF(Sheet1!K570, 1, 0)
</f>
        <v>0</v>
      </c>
      <c r="I562" s="1" t="s">
        <v>692</v>
      </c>
      <c r="K562" s="39" t="s">
        <v>693</v>
      </c>
      <c r="M562" s="39" t="s">
        <v>693</v>
      </c>
    </row>
    <row r="563">
      <c r="A563" s="1" t="s">
        <v>703</v>
      </c>
      <c r="C563" s="39" t="s">
        <v>691</v>
      </c>
      <c r="G563" s="39" t="s">
        <v>691</v>
      </c>
      <c r="H563" s="3">
        <f>IF(Sheet1!K571, 1, 0)
</f>
        <v>0</v>
      </c>
      <c r="I563" s="1" t="s">
        <v>692</v>
      </c>
      <c r="K563" s="39" t="s">
        <v>693</v>
      </c>
      <c r="M563" s="39" t="s">
        <v>693</v>
      </c>
    </row>
    <row r="564">
      <c r="A564" s="1" t="s">
        <v>703</v>
      </c>
      <c r="C564" s="39" t="s">
        <v>691</v>
      </c>
      <c r="G564" s="39" t="s">
        <v>691</v>
      </c>
      <c r="H564" s="3">
        <f>IF(Sheet1!K572, 1, 0)
</f>
        <v>0</v>
      </c>
      <c r="I564" s="1" t="s">
        <v>692</v>
      </c>
      <c r="K564" s="39" t="s">
        <v>693</v>
      </c>
      <c r="M564" s="39" t="s">
        <v>693</v>
      </c>
    </row>
    <row r="565">
      <c r="A565" s="1" t="s">
        <v>703</v>
      </c>
      <c r="C565" s="39" t="s">
        <v>691</v>
      </c>
      <c r="G565" s="39" t="s">
        <v>691</v>
      </c>
      <c r="H565" s="3">
        <f>IF(Sheet1!K573, 1, 0)
</f>
        <v>0</v>
      </c>
      <c r="I565" s="1" t="s">
        <v>692</v>
      </c>
      <c r="K565" s="39" t="s">
        <v>693</v>
      </c>
      <c r="M565" s="39" t="s">
        <v>693</v>
      </c>
    </row>
    <row r="566">
      <c r="A566" s="1" t="s">
        <v>703</v>
      </c>
      <c r="C566" s="39" t="s">
        <v>691</v>
      </c>
      <c r="G566" s="39" t="s">
        <v>691</v>
      </c>
      <c r="H566" s="3">
        <f>IF(Sheet1!K574, 1, 0)
</f>
        <v>0</v>
      </c>
      <c r="I566" s="1" t="s">
        <v>692</v>
      </c>
      <c r="K566" s="39" t="s">
        <v>693</v>
      </c>
      <c r="M566" s="39" t="s">
        <v>693</v>
      </c>
    </row>
    <row r="567">
      <c r="A567" s="1" t="s">
        <v>703</v>
      </c>
      <c r="C567" s="39" t="s">
        <v>691</v>
      </c>
      <c r="G567" s="39" t="s">
        <v>691</v>
      </c>
      <c r="H567" s="3">
        <f>IF(Sheet1!K575, 1, 0)
</f>
        <v>0</v>
      </c>
      <c r="I567" s="1" t="s">
        <v>692</v>
      </c>
      <c r="K567" s="39" t="s">
        <v>693</v>
      </c>
      <c r="M567" s="39" t="s">
        <v>693</v>
      </c>
    </row>
    <row r="568">
      <c r="A568" s="1" t="s">
        <v>703</v>
      </c>
      <c r="C568" s="39" t="s">
        <v>691</v>
      </c>
      <c r="G568" s="39" t="s">
        <v>691</v>
      </c>
      <c r="H568" s="3">
        <f>IF(Sheet1!K576, 1, 0)
</f>
        <v>0</v>
      </c>
      <c r="I568" s="1" t="s">
        <v>692</v>
      </c>
      <c r="K568" s="39" t="s">
        <v>693</v>
      </c>
      <c r="M568" s="39" t="s">
        <v>693</v>
      </c>
    </row>
    <row r="569">
      <c r="A569" s="1" t="s">
        <v>703</v>
      </c>
      <c r="C569" s="39" t="s">
        <v>691</v>
      </c>
      <c r="G569" s="39" t="s">
        <v>691</v>
      </c>
      <c r="H569" s="3">
        <f>IF(Sheet1!K577, 1, 0)
</f>
        <v>0</v>
      </c>
      <c r="I569" s="1" t="s">
        <v>692</v>
      </c>
      <c r="K569" s="39" t="s">
        <v>693</v>
      </c>
      <c r="M569" s="39" t="s">
        <v>693</v>
      </c>
    </row>
    <row r="570">
      <c r="A570" s="1" t="s">
        <v>703</v>
      </c>
      <c r="C570" s="39" t="s">
        <v>691</v>
      </c>
      <c r="G570" s="39" t="s">
        <v>691</v>
      </c>
      <c r="H570" s="3">
        <f>IF(Sheet1!K578, 1, 0)
</f>
        <v>0</v>
      </c>
      <c r="I570" s="1" t="s">
        <v>692</v>
      </c>
      <c r="K570" s="39" t="s">
        <v>693</v>
      </c>
      <c r="M570" s="39" t="s">
        <v>693</v>
      </c>
    </row>
    <row r="571">
      <c r="A571" s="1" t="s">
        <v>703</v>
      </c>
      <c r="C571" s="39" t="s">
        <v>691</v>
      </c>
      <c r="G571" s="39" t="s">
        <v>691</v>
      </c>
      <c r="H571" s="3">
        <f>IF(Sheet1!K579, 1, 0)
</f>
        <v>0</v>
      </c>
      <c r="I571" s="1" t="s">
        <v>692</v>
      </c>
      <c r="K571" s="39" t="s">
        <v>693</v>
      </c>
      <c r="M571" s="39" t="s">
        <v>693</v>
      </c>
    </row>
    <row r="572">
      <c r="A572" s="1" t="s">
        <v>703</v>
      </c>
      <c r="C572" s="39" t="s">
        <v>691</v>
      </c>
      <c r="G572" s="39" t="s">
        <v>691</v>
      </c>
      <c r="H572" s="3">
        <f>IF(Sheet1!K580, 1, 0)
</f>
        <v>0</v>
      </c>
      <c r="I572" s="1" t="s">
        <v>692</v>
      </c>
      <c r="K572" s="39" t="s">
        <v>693</v>
      </c>
      <c r="M572" s="39" t="s">
        <v>693</v>
      </c>
    </row>
    <row r="573">
      <c r="A573" s="1" t="s">
        <v>703</v>
      </c>
      <c r="C573" s="39" t="s">
        <v>691</v>
      </c>
      <c r="G573" s="39" t="s">
        <v>691</v>
      </c>
      <c r="H573" s="3">
        <f>IF(Sheet1!K581, 1, 0)
</f>
        <v>0</v>
      </c>
      <c r="I573" s="1" t="s">
        <v>692</v>
      </c>
      <c r="K573" s="39" t="s">
        <v>693</v>
      </c>
      <c r="M573" s="39" t="s">
        <v>693</v>
      </c>
    </row>
    <row r="574">
      <c r="A574" s="1" t="s">
        <v>703</v>
      </c>
      <c r="C574" s="39" t="s">
        <v>691</v>
      </c>
      <c r="G574" s="39" t="s">
        <v>691</v>
      </c>
      <c r="H574" s="3">
        <f>IF(Sheet1!K582, 1, 0)
</f>
        <v>0</v>
      </c>
      <c r="I574" s="1" t="s">
        <v>692</v>
      </c>
      <c r="K574" s="39" t="s">
        <v>693</v>
      </c>
      <c r="M574" s="39" t="s">
        <v>693</v>
      </c>
    </row>
    <row r="575">
      <c r="A575" s="1" t="s">
        <v>703</v>
      </c>
      <c r="C575" s="39" t="s">
        <v>691</v>
      </c>
      <c r="G575" s="39" t="s">
        <v>691</v>
      </c>
      <c r="H575" s="3">
        <f>IF(Sheet1!K583, 1, 0)
</f>
        <v>0</v>
      </c>
      <c r="I575" s="1" t="s">
        <v>692</v>
      </c>
      <c r="K575" s="39" t="s">
        <v>693</v>
      </c>
      <c r="M575" s="39" t="s">
        <v>693</v>
      </c>
    </row>
    <row r="576">
      <c r="A576" s="1" t="s">
        <v>703</v>
      </c>
      <c r="C576" s="39" t="s">
        <v>691</v>
      </c>
      <c r="G576" s="39" t="s">
        <v>691</v>
      </c>
      <c r="H576" s="3">
        <f>IF(Sheet1!K584, 1, 0)
</f>
        <v>0</v>
      </c>
      <c r="I576" s="1" t="s">
        <v>692</v>
      </c>
      <c r="K576" s="39" t="s">
        <v>693</v>
      </c>
      <c r="M576" s="39" t="s">
        <v>693</v>
      </c>
    </row>
    <row r="577">
      <c r="A577" s="1" t="s">
        <v>703</v>
      </c>
      <c r="C577" s="39" t="s">
        <v>691</v>
      </c>
      <c r="G577" s="39" t="s">
        <v>691</v>
      </c>
      <c r="H577" s="3">
        <f>IF(Sheet1!K585, 1, 0)
</f>
        <v>0</v>
      </c>
      <c r="I577" s="1" t="s">
        <v>692</v>
      </c>
      <c r="K577" s="39" t="s">
        <v>693</v>
      </c>
      <c r="M577" s="39" t="s">
        <v>693</v>
      </c>
    </row>
    <row r="578">
      <c r="A578" s="1" t="s">
        <v>703</v>
      </c>
      <c r="C578" s="39" t="s">
        <v>691</v>
      </c>
      <c r="G578" s="39" t="s">
        <v>691</v>
      </c>
      <c r="H578" s="3">
        <f>IF(Sheet1!K586, 1, 0)
</f>
        <v>0</v>
      </c>
      <c r="I578" s="1" t="s">
        <v>692</v>
      </c>
      <c r="K578" s="39" t="s">
        <v>693</v>
      </c>
      <c r="M578" s="39" t="s">
        <v>693</v>
      </c>
    </row>
    <row r="579">
      <c r="A579" s="1" t="s">
        <v>703</v>
      </c>
      <c r="C579" s="39" t="s">
        <v>691</v>
      </c>
      <c r="G579" s="39" t="s">
        <v>691</v>
      </c>
      <c r="H579" s="3">
        <f>IF(Sheet1!K587, 1, 0)
</f>
        <v>0</v>
      </c>
      <c r="I579" s="1" t="s">
        <v>692</v>
      </c>
      <c r="K579" s="39" t="s">
        <v>693</v>
      </c>
      <c r="M579" s="39" t="s">
        <v>693</v>
      </c>
    </row>
    <row r="580">
      <c r="A580" s="1" t="s">
        <v>703</v>
      </c>
      <c r="C580" s="39" t="s">
        <v>691</v>
      </c>
      <c r="G580" s="39" t="s">
        <v>691</v>
      </c>
      <c r="H580" s="3">
        <f>IF(Sheet1!K588, 1, 0)
</f>
        <v>0</v>
      </c>
      <c r="I580" s="1" t="s">
        <v>692</v>
      </c>
      <c r="K580" s="39" t="s">
        <v>693</v>
      </c>
      <c r="M580" s="39" t="s">
        <v>693</v>
      </c>
    </row>
    <row r="581">
      <c r="A581" s="1" t="s">
        <v>703</v>
      </c>
      <c r="C581" s="39" t="s">
        <v>691</v>
      </c>
      <c r="G581" s="39" t="s">
        <v>691</v>
      </c>
      <c r="H581" s="3">
        <f>IF(Sheet1!K589, 1, 0)
</f>
        <v>0</v>
      </c>
      <c r="I581" s="1" t="s">
        <v>692</v>
      </c>
      <c r="K581" s="39" t="s">
        <v>693</v>
      </c>
      <c r="M581" s="39" t="s">
        <v>693</v>
      </c>
    </row>
    <row r="582">
      <c r="A582" s="1" t="s">
        <v>703</v>
      </c>
      <c r="C582" s="39" t="s">
        <v>691</v>
      </c>
      <c r="G582" s="39" t="s">
        <v>691</v>
      </c>
      <c r="H582" s="3">
        <f>IF(Sheet1!K590, 1, 0)
</f>
        <v>0</v>
      </c>
      <c r="I582" s="1" t="s">
        <v>692</v>
      </c>
      <c r="K582" s="39" t="s">
        <v>693</v>
      </c>
      <c r="M582" s="39" t="s">
        <v>693</v>
      </c>
    </row>
    <row r="583">
      <c r="A583" s="1" t="s">
        <v>703</v>
      </c>
      <c r="C583" s="39" t="s">
        <v>691</v>
      </c>
      <c r="G583" s="39" t="s">
        <v>691</v>
      </c>
      <c r="H583" s="3">
        <f>IF(Sheet1!K591, 1, 0)
</f>
        <v>0</v>
      </c>
      <c r="I583" s="1" t="s">
        <v>692</v>
      </c>
      <c r="K583" s="39" t="s">
        <v>693</v>
      </c>
      <c r="M583" s="39" t="s">
        <v>693</v>
      </c>
    </row>
    <row r="584">
      <c r="A584" s="1" t="s">
        <v>703</v>
      </c>
      <c r="C584" s="39" t="s">
        <v>691</v>
      </c>
      <c r="G584" s="39" t="s">
        <v>691</v>
      </c>
      <c r="H584" s="3">
        <f>IF(Sheet1!K592, 1, 0)
</f>
        <v>0</v>
      </c>
      <c r="I584" s="1" t="s">
        <v>692</v>
      </c>
      <c r="K584" s="39" t="s">
        <v>693</v>
      </c>
      <c r="M584" s="39" t="s">
        <v>693</v>
      </c>
    </row>
    <row r="585">
      <c r="A585" s="1" t="s">
        <v>703</v>
      </c>
      <c r="C585" s="39" t="s">
        <v>691</v>
      </c>
      <c r="G585" s="39" t="s">
        <v>691</v>
      </c>
      <c r="H585" s="3">
        <f>IF(Sheet1!K593, 1, 0)
</f>
        <v>0</v>
      </c>
      <c r="I585" s="1" t="s">
        <v>692</v>
      </c>
      <c r="K585" s="39" t="s">
        <v>693</v>
      </c>
      <c r="M585" s="39" t="s">
        <v>693</v>
      </c>
    </row>
    <row r="586">
      <c r="A586" s="1" t="s">
        <v>703</v>
      </c>
      <c r="C586" s="39" t="s">
        <v>691</v>
      </c>
      <c r="G586" s="39" t="s">
        <v>691</v>
      </c>
      <c r="H586" s="3">
        <f>IF(Sheet1!K594, 1, 0)
</f>
        <v>0</v>
      </c>
      <c r="I586" s="1" t="s">
        <v>692</v>
      </c>
      <c r="K586" s="39" t="s">
        <v>693</v>
      </c>
      <c r="M586" s="39" t="s">
        <v>693</v>
      </c>
    </row>
    <row r="587">
      <c r="A587" s="1" t="s">
        <v>703</v>
      </c>
      <c r="C587" s="39" t="s">
        <v>691</v>
      </c>
      <c r="G587" s="39" t="s">
        <v>691</v>
      </c>
      <c r="H587" s="3">
        <f>IF(Sheet1!K595, 1, 0)
</f>
        <v>0</v>
      </c>
      <c r="I587" s="1" t="s">
        <v>692</v>
      </c>
      <c r="K587" s="39" t="s">
        <v>693</v>
      </c>
      <c r="M587" s="39" t="s">
        <v>693</v>
      </c>
    </row>
    <row r="588">
      <c r="A588" s="1" t="s">
        <v>703</v>
      </c>
      <c r="C588" s="39" t="s">
        <v>691</v>
      </c>
      <c r="G588" s="39" t="s">
        <v>691</v>
      </c>
      <c r="H588" s="3">
        <f>IF(Sheet1!K596, 1, 0)
</f>
        <v>0</v>
      </c>
      <c r="I588" s="1" t="s">
        <v>692</v>
      </c>
      <c r="K588" s="39" t="s">
        <v>693</v>
      </c>
      <c r="M588" s="39" t="s">
        <v>693</v>
      </c>
    </row>
    <row r="589">
      <c r="A589" s="1" t="s">
        <v>703</v>
      </c>
      <c r="C589" s="39" t="s">
        <v>691</v>
      </c>
      <c r="G589" s="39" t="s">
        <v>691</v>
      </c>
      <c r="H589" s="3">
        <f>IF(Sheet1!K597, 1, 0)
</f>
        <v>0</v>
      </c>
      <c r="I589" s="1" t="s">
        <v>692</v>
      </c>
      <c r="K589" s="39" t="s">
        <v>693</v>
      </c>
      <c r="M589" s="39" t="s">
        <v>693</v>
      </c>
    </row>
    <row r="590">
      <c r="A590" s="1" t="s">
        <v>703</v>
      </c>
      <c r="C590" s="39" t="s">
        <v>691</v>
      </c>
      <c r="G590" s="39" t="s">
        <v>691</v>
      </c>
      <c r="H590" s="3">
        <f>IF(Sheet1!K598, 1, 0)
</f>
        <v>0</v>
      </c>
      <c r="I590" s="1" t="s">
        <v>692</v>
      </c>
      <c r="K590" s="39" t="s">
        <v>693</v>
      </c>
      <c r="M590" s="39" t="s">
        <v>693</v>
      </c>
    </row>
    <row r="591">
      <c r="A591" s="1" t="s">
        <v>703</v>
      </c>
      <c r="C591" s="39" t="s">
        <v>691</v>
      </c>
      <c r="G591" s="39" t="s">
        <v>691</v>
      </c>
      <c r="H591" s="3">
        <f>IF(Sheet1!K599, 1, 0)
</f>
        <v>0</v>
      </c>
      <c r="I591" s="1" t="s">
        <v>692</v>
      </c>
      <c r="K591" s="39" t="s">
        <v>693</v>
      </c>
      <c r="M591" s="39" t="s">
        <v>693</v>
      </c>
    </row>
    <row r="592">
      <c r="A592" s="1" t="s">
        <v>703</v>
      </c>
      <c r="C592" s="39" t="s">
        <v>691</v>
      </c>
      <c r="G592" s="39" t="s">
        <v>691</v>
      </c>
      <c r="H592" s="3">
        <f>IF(Sheet1!K600, 1, 0)
</f>
        <v>0</v>
      </c>
      <c r="I592" s="1" t="s">
        <v>692</v>
      </c>
      <c r="K592" s="39" t="s">
        <v>693</v>
      </c>
      <c r="M592" s="39" t="s">
        <v>693</v>
      </c>
    </row>
    <row r="593">
      <c r="A593" s="1" t="s">
        <v>703</v>
      </c>
      <c r="C593" s="39" t="s">
        <v>691</v>
      </c>
      <c r="G593" s="39" t="s">
        <v>691</v>
      </c>
      <c r="H593" s="3">
        <f>IF(Sheet1!K601, 1, 0)
</f>
        <v>0</v>
      </c>
      <c r="I593" s="1" t="s">
        <v>692</v>
      </c>
      <c r="K593" s="39" t="s">
        <v>693</v>
      </c>
      <c r="M593" s="39" t="s">
        <v>693</v>
      </c>
    </row>
    <row r="594">
      <c r="A594" s="1" t="s">
        <v>703</v>
      </c>
      <c r="C594" s="39" t="s">
        <v>691</v>
      </c>
      <c r="G594" s="39" t="s">
        <v>691</v>
      </c>
      <c r="H594" s="3">
        <f>IF(Sheet1!K602, 1, 0)
</f>
        <v>0</v>
      </c>
      <c r="I594" s="1" t="s">
        <v>692</v>
      </c>
      <c r="K594" s="39" t="s">
        <v>693</v>
      </c>
      <c r="M594" s="39" t="s">
        <v>693</v>
      </c>
    </row>
    <row r="595">
      <c r="A595" s="1" t="s">
        <v>703</v>
      </c>
      <c r="C595" s="39" t="s">
        <v>691</v>
      </c>
      <c r="G595" s="39" t="s">
        <v>691</v>
      </c>
      <c r="H595" s="3">
        <f>IF(Sheet1!K603, 1, 0)
</f>
        <v>0</v>
      </c>
      <c r="I595" s="1" t="s">
        <v>692</v>
      </c>
      <c r="K595" s="39" t="s">
        <v>693</v>
      </c>
      <c r="M595" s="39" t="s">
        <v>693</v>
      </c>
    </row>
    <row r="596">
      <c r="A596" s="1" t="s">
        <v>703</v>
      </c>
      <c r="C596" s="39" t="s">
        <v>691</v>
      </c>
      <c r="G596" s="39" t="s">
        <v>691</v>
      </c>
      <c r="H596" s="3">
        <f>IF(Sheet1!K604, 1, 0)
</f>
        <v>0</v>
      </c>
      <c r="I596" s="1" t="s">
        <v>692</v>
      </c>
      <c r="K596" s="39" t="s">
        <v>693</v>
      </c>
      <c r="M596" s="39" t="s">
        <v>693</v>
      </c>
    </row>
    <row r="597">
      <c r="A597" s="1" t="s">
        <v>703</v>
      </c>
      <c r="C597" s="39" t="s">
        <v>691</v>
      </c>
      <c r="G597" s="39" t="s">
        <v>691</v>
      </c>
      <c r="H597" s="3">
        <f>IF(Sheet1!K605, 1, 0)
</f>
        <v>0</v>
      </c>
      <c r="I597" s="1" t="s">
        <v>692</v>
      </c>
      <c r="K597" s="39" t="s">
        <v>693</v>
      </c>
      <c r="M597" s="39" t="s">
        <v>693</v>
      </c>
    </row>
    <row r="598">
      <c r="A598" s="1" t="s">
        <v>703</v>
      </c>
      <c r="C598" s="39" t="s">
        <v>691</v>
      </c>
      <c r="G598" s="39" t="s">
        <v>691</v>
      </c>
      <c r="H598" s="3">
        <f>IF(Sheet1!K606, 1, 0)
</f>
        <v>0</v>
      </c>
      <c r="I598" s="1" t="s">
        <v>692</v>
      </c>
      <c r="K598" s="39" t="s">
        <v>693</v>
      </c>
      <c r="M598" s="39" t="s">
        <v>693</v>
      </c>
    </row>
    <row r="599">
      <c r="A599" s="1" t="s">
        <v>703</v>
      </c>
      <c r="C599" s="39" t="s">
        <v>691</v>
      </c>
      <c r="G599" s="39" t="s">
        <v>691</v>
      </c>
      <c r="H599" s="3">
        <f>IF(Sheet1!K607, 1, 0)
</f>
        <v>0</v>
      </c>
      <c r="I599" s="1" t="s">
        <v>692</v>
      </c>
      <c r="K599" s="39" t="s">
        <v>693</v>
      </c>
      <c r="M599" s="39" t="s">
        <v>693</v>
      </c>
    </row>
    <row r="600">
      <c r="A600" s="1" t="s">
        <v>703</v>
      </c>
      <c r="C600" s="39" t="s">
        <v>691</v>
      </c>
      <c r="G600" s="39" t="s">
        <v>691</v>
      </c>
      <c r="H600" s="3">
        <f>IF(Sheet1!K608, 1, 0)
</f>
        <v>0</v>
      </c>
      <c r="I600" s="1" t="s">
        <v>692</v>
      </c>
      <c r="K600" s="39" t="s">
        <v>693</v>
      </c>
      <c r="M600" s="39" t="s">
        <v>693</v>
      </c>
    </row>
    <row r="601">
      <c r="A601" s="1" t="s">
        <v>703</v>
      </c>
      <c r="C601" s="39" t="s">
        <v>691</v>
      </c>
      <c r="G601" s="39" t="s">
        <v>691</v>
      </c>
      <c r="H601" s="3">
        <f>IF(Sheet1!K609, 1, 0)
</f>
        <v>0</v>
      </c>
      <c r="I601" s="1" t="s">
        <v>692</v>
      </c>
      <c r="K601" s="39" t="s">
        <v>693</v>
      </c>
      <c r="M601" s="39" t="s">
        <v>693</v>
      </c>
    </row>
    <row r="602">
      <c r="A602" s="1" t="s">
        <v>703</v>
      </c>
      <c r="C602" s="39" t="s">
        <v>691</v>
      </c>
      <c r="G602" s="39" t="s">
        <v>691</v>
      </c>
      <c r="H602" s="3">
        <f>IF(Sheet1!K610, 1, 0)
</f>
        <v>0</v>
      </c>
      <c r="I602" s="1" t="s">
        <v>692</v>
      </c>
      <c r="K602" s="39" t="s">
        <v>693</v>
      </c>
      <c r="M602" s="39" t="s">
        <v>693</v>
      </c>
    </row>
    <row r="603">
      <c r="A603" s="1" t="s">
        <v>703</v>
      </c>
      <c r="C603" s="39" t="s">
        <v>691</v>
      </c>
      <c r="G603" s="39" t="s">
        <v>691</v>
      </c>
      <c r="H603" s="3">
        <f>IF(Sheet1!K611, 1, 0)
</f>
        <v>0</v>
      </c>
      <c r="I603" s="1" t="s">
        <v>692</v>
      </c>
      <c r="K603" s="39" t="s">
        <v>693</v>
      </c>
      <c r="M603" s="39" t="s">
        <v>693</v>
      </c>
    </row>
    <row r="604">
      <c r="A604" s="1" t="s">
        <v>703</v>
      </c>
      <c r="C604" s="39" t="s">
        <v>691</v>
      </c>
      <c r="G604" s="39" t="s">
        <v>691</v>
      </c>
      <c r="H604" s="3">
        <f>IF(Sheet1!K612, 1, 0)
</f>
        <v>0</v>
      </c>
      <c r="I604" s="1" t="s">
        <v>692</v>
      </c>
      <c r="K604" s="39" t="s">
        <v>693</v>
      </c>
      <c r="M604" s="39" t="s">
        <v>693</v>
      </c>
    </row>
    <row r="605">
      <c r="A605" s="1" t="s">
        <v>703</v>
      </c>
      <c r="C605" s="39" t="s">
        <v>691</v>
      </c>
      <c r="G605" s="39" t="s">
        <v>691</v>
      </c>
      <c r="H605" s="3">
        <f>IF(Sheet1!K613, 1, 0)
</f>
        <v>0</v>
      </c>
      <c r="I605" s="1" t="s">
        <v>692</v>
      </c>
      <c r="K605" s="39" t="s">
        <v>693</v>
      </c>
      <c r="M605" s="39" t="s">
        <v>693</v>
      </c>
    </row>
    <row r="606">
      <c r="A606" s="1" t="s">
        <v>703</v>
      </c>
      <c r="C606" s="39" t="s">
        <v>691</v>
      </c>
      <c r="G606" s="39" t="s">
        <v>691</v>
      </c>
      <c r="H606" s="3">
        <f>IF(Sheet1!K614, 1, 0)
</f>
        <v>0</v>
      </c>
      <c r="I606" s="1" t="s">
        <v>692</v>
      </c>
      <c r="K606" s="39" t="s">
        <v>693</v>
      </c>
      <c r="M606" s="39" t="s">
        <v>693</v>
      </c>
    </row>
    <row r="607">
      <c r="A607" s="1" t="s">
        <v>703</v>
      </c>
      <c r="C607" s="39" t="s">
        <v>691</v>
      </c>
      <c r="G607" s="39" t="s">
        <v>691</v>
      </c>
      <c r="H607" s="3">
        <f>IF(Sheet1!K615, 1, 0)
</f>
        <v>0</v>
      </c>
      <c r="I607" s="1" t="s">
        <v>692</v>
      </c>
      <c r="K607" s="39" t="s">
        <v>693</v>
      </c>
      <c r="M607" s="39" t="s">
        <v>693</v>
      </c>
    </row>
    <row r="608">
      <c r="A608" s="1" t="s">
        <v>703</v>
      </c>
      <c r="C608" s="39" t="s">
        <v>691</v>
      </c>
      <c r="G608" s="39" t="s">
        <v>691</v>
      </c>
      <c r="H608" s="3">
        <f>IF(Sheet1!K616, 1, 0)
</f>
        <v>0</v>
      </c>
      <c r="I608" s="1" t="s">
        <v>692</v>
      </c>
      <c r="K608" s="39" t="s">
        <v>693</v>
      </c>
      <c r="M608" s="39" t="s">
        <v>693</v>
      </c>
    </row>
    <row r="609">
      <c r="A609" s="1" t="s">
        <v>703</v>
      </c>
      <c r="C609" s="39" t="s">
        <v>691</v>
      </c>
      <c r="G609" s="39" t="s">
        <v>691</v>
      </c>
      <c r="H609" s="3">
        <f>IF(Sheet1!K617, 1, 0)
</f>
        <v>0</v>
      </c>
      <c r="I609" s="1" t="s">
        <v>692</v>
      </c>
      <c r="K609" s="39" t="s">
        <v>693</v>
      </c>
      <c r="M609" s="39" t="s">
        <v>693</v>
      </c>
    </row>
    <row r="610">
      <c r="A610" s="1" t="s">
        <v>703</v>
      </c>
      <c r="C610" s="39" t="s">
        <v>691</v>
      </c>
      <c r="G610" s="39" t="s">
        <v>691</v>
      </c>
      <c r="H610" s="3">
        <f>IF(Sheet1!K618, 1, 0)
</f>
        <v>0</v>
      </c>
      <c r="I610" s="1" t="s">
        <v>692</v>
      </c>
      <c r="K610" s="39" t="s">
        <v>693</v>
      </c>
      <c r="M610" s="39" t="s">
        <v>693</v>
      </c>
    </row>
    <row r="611">
      <c r="A611" s="1" t="s">
        <v>703</v>
      </c>
      <c r="C611" s="39" t="s">
        <v>691</v>
      </c>
      <c r="G611" s="39" t="s">
        <v>691</v>
      </c>
      <c r="H611" s="3">
        <f>IF(Sheet1!K619, 1, 0)
</f>
        <v>0</v>
      </c>
      <c r="I611" s="1" t="s">
        <v>692</v>
      </c>
      <c r="K611" s="39" t="s">
        <v>693</v>
      </c>
      <c r="M611" s="39" t="s">
        <v>693</v>
      </c>
    </row>
    <row r="612">
      <c r="A612" s="1" t="s">
        <v>703</v>
      </c>
      <c r="C612" s="39" t="s">
        <v>691</v>
      </c>
      <c r="G612" s="39" t="s">
        <v>691</v>
      </c>
      <c r="H612" s="3">
        <f>IF(Sheet1!K620, 1, 0)
</f>
        <v>0</v>
      </c>
      <c r="I612" s="1" t="s">
        <v>692</v>
      </c>
      <c r="K612" s="39" t="s">
        <v>693</v>
      </c>
      <c r="M612" s="39" t="s">
        <v>693</v>
      </c>
    </row>
    <row r="613">
      <c r="A613" s="1" t="s">
        <v>703</v>
      </c>
      <c r="C613" s="39" t="s">
        <v>691</v>
      </c>
      <c r="G613" s="39" t="s">
        <v>691</v>
      </c>
      <c r="H613" s="3">
        <f>IF(Sheet1!K621, 1, 0)
</f>
        <v>0</v>
      </c>
      <c r="I613" s="1" t="s">
        <v>692</v>
      </c>
      <c r="K613" s="39" t="s">
        <v>693</v>
      </c>
      <c r="M613" s="39" t="s">
        <v>693</v>
      </c>
    </row>
    <row r="614">
      <c r="A614" s="1" t="s">
        <v>703</v>
      </c>
      <c r="C614" s="39" t="s">
        <v>691</v>
      </c>
      <c r="G614" s="39" t="s">
        <v>691</v>
      </c>
      <c r="H614" s="3">
        <f>IF(Sheet1!K622, 1, 0)
</f>
        <v>0</v>
      </c>
      <c r="I614" s="1" t="s">
        <v>692</v>
      </c>
      <c r="K614" s="39" t="s">
        <v>693</v>
      </c>
      <c r="M614" s="39" t="s">
        <v>693</v>
      </c>
    </row>
    <row r="615">
      <c r="A615" s="1" t="s">
        <v>703</v>
      </c>
      <c r="C615" s="39" t="s">
        <v>691</v>
      </c>
      <c r="G615" s="39" t="s">
        <v>691</v>
      </c>
      <c r="H615" s="3">
        <f>IF(Sheet1!K623, 1, 0)
</f>
        <v>0</v>
      </c>
      <c r="I615" s="1" t="s">
        <v>692</v>
      </c>
      <c r="K615" s="39" t="s">
        <v>693</v>
      </c>
      <c r="M615" s="39" t="s">
        <v>693</v>
      </c>
    </row>
    <row r="616">
      <c r="A616" s="1" t="s">
        <v>703</v>
      </c>
      <c r="C616" s="39" t="s">
        <v>691</v>
      </c>
      <c r="G616" s="39" t="s">
        <v>691</v>
      </c>
      <c r="H616" s="3">
        <f>IF(Sheet1!K624, 1, 0)
</f>
        <v>0</v>
      </c>
      <c r="I616" s="1" t="s">
        <v>692</v>
      </c>
      <c r="K616" s="39" t="s">
        <v>693</v>
      </c>
      <c r="M616" s="39" t="s">
        <v>693</v>
      </c>
    </row>
    <row r="617">
      <c r="A617" s="1" t="s">
        <v>703</v>
      </c>
      <c r="C617" s="39" t="s">
        <v>691</v>
      </c>
      <c r="G617" s="39" t="s">
        <v>691</v>
      </c>
      <c r="H617" s="3">
        <f>IF(Sheet1!K625, 1, 0)
</f>
        <v>0</v>
      </c>
      <c r="I617" s="1" t="s">
        <v>692</v>
      </c>
      <c r="K617" s="39" t="s">
        <v>693</v>
      </c>
      <c r="M617" s="39" t="s">
        <v>693</v>
      </c>
    </row>
    <row r="618">
      <c r="A618" s="1" t="s">
        <v>703</v>
      </c>
      <c r="C618" s="39" t="s">
        <v>691</v>
      </c>
      <c r="G618" s="39" t="s">
        <v>691</v>
      </c>
      <c r="H618" s="3">
        <f>IF(Sheet1!K626, 1, 0)
</f>
        <v>0</v>
      </c>
      <c r="I618" s="1" t="s">
        <v>692</v>
      </c>
      <c r="K618" s="39" t="s">
        <v>693</v>
      </c>
      <c r="M618" s="39" t="s">
        <v>693</v>
      </c>
    </row>
    <row r="619">
      <c r="A619" s="1" t="s">
        <v>703</v>
      </c>
      <c r="C619" s="39" t="s">
        <v>691</v>
      </c>
      <c r="G619" s="39" t="s">
        <v>691</v>
      </c>
      <c r="H619" s="3">
        <f>IF(Sheet1!K627, 1, 0)
</f>
        <v>0</v>
      </c>
      <c r="I619" s="1" t="s">
        <v>692</v>
      </c>
      <c r="K619" s="39" t="s">
        <v>693</v>
      </c>
      <c r="M619" s="39" t="s">
        <v>693</v>
      </c>
    </row>
    <row r="620">
      <c r="A620" s="1" t="s">
        <v>703</v>
      </c>
      <c r="C620" s="39" t="s">
        <v>691</v>
      </c>
      <c r="G620" s="39" t="s">
        <v>691</v>
      </c>
      <c r="H620" s="3">
        <f>IF(Sheet1!K628, 1, 0)
</f>
        <v>0</v>
      </c>
      <c r="I620" s="1" t="s">
        <v>692</v>
      </c>
      <c r="K620" s="39" t="s">
        <v>693</v>
      </c>
      <c r="M620" s="39" t="s">
        <v>693</v>
      </c>
    </row>
    <row r="621">
      <c r="A621" s="1" t="s">
        <v>703</v>
      </c>
      <c r="C621" s="39" t="s">
        <v>691</v>
      </c>
      <c r="G621" s="39" t="s">
        <v>691</v>
      </c>
      <c r="H621" s="3">
        <f>IF(Sheet1!K629, 1, 0)
</f>
        <v>0</v>
      </c>
      <c r="I621" s="1" t="s">
        <v>692</v>
      </c>
      <c r="K621" s="39" t="s">
        <v>693</v>
      </c>
      <c r="M621" s="39" t="s">
        <v>693</v>
      </c>
    </row>
    <row r="622">
      <c r="A622" s="1" t="s">
        <v>703</v>
      </c>
      <c r="C622" s="39" t="s">
        <v>691</v>
      </c>
      <c r="G622" s="39" t="s">
        <v>691</v>
      </c>
      <c r="H622" s="3">
        <f>IF(Sheet1!K630, 1, 0)
</f>
        <v>0</v>
      </c>
      <c r="I622" s="1" t="s">
        <v>692</v>
      </c>
      <c r="K622" s="39" t="s">
        <v>693</v>
      </c>
      <c r="M622" s="39" t="s">
        <v>693</v>
      </c>
    </row>
    <row r="623">
      <c r="A623" s="1" t="s">
        <v>703</v>
      </c>
      <c r="C623" s="39" t="s">
        <v>691</v>
      </c>
      <c r="G623" s="39" t="s">
        <v>691</v>
      </c>
      <c r="H623" s="3">
        <f>IF(Sheet1!K631, 1, 0)
</f>
        <v>0</v>
      </c>
      <c r="I623" s="1" t="s">
        <v>692</v>
      </c>
      <c r="K623" s="39" t="s">
        <v>693</v>
      </c>
      <c r="M623" s="39" t="s">
        <v>693</v>
      </c>
    </row>
    <row r="624">
      <c r="A624" s="1" t="s">
        <v>703</v>
      </c>
      <c r="C624" s="39" t="s">
        <v>691</v>
      </c>
      <c r="G624" s="39" t="s">
        <v>691</v>
      </c>
      <c r="H624" s="3">
        <f>IF(Sheet1!K632, 1, 0)
</f>
        <v>0</v>
      </c>
      <c r="I624" s="1" t="s">
        <v>692</v>
      </c>
      <c r="K624" s="39" t="s">
        <v>693</v>
      </c>
      <c r="M624" s="39" t="s">
        <v>693</v>
      </c>
    </row>
    <row r="625">
      <c r="A625" s="1" t="s">
        <v>703</v>
      </c>
      <c r="C625" s="39" t="s">
        <v>691</v>
      </c>
      <c r="G625" s="39" t="s">
        <v>691</v>
      </c>
      <c r="H625" s="3">
        <f>IF(Sheet1!K633, 1, 0)
</f>
        <v>0</v>
      </c>
      <c r="I625" s="1" t="s">
        <v>692</v>
      </c>
      <c r="K625" s="39" t="s">
        <v>693</v>
      </c>
      <c r="M625" s="39" t="s">
        <v>693</v>
      </c>
    </row>
    <row r="626">
      <c r="A626" s="1" t="s">
        <v>703</v>
      </c>
      <c r="C626" s="39" t="s">
        <v>691</v>
      </c>
      <c r="G626" s="39" t="s">
        <v>691</v>
      </c>
      <c r="H626" s="3">
        <f>IF(Sheet1!K634, 1, 0)
</f>
        <v>0</v>
      </c>
      <c r="I626" s="1" t="s">
        <v>692</v>
      </c>
      <c r="K626" s="39" t="s">
        <v>693</v>
      </c>
      <c r="M626" s="39" t="s">
        <v>693</v>
      </c>
    </row>
    <row r="627">
      <c r="A627" s="1" t="s">
        <v>703</v>
      </c>
      <c r="C627" s="39" t="s">
        <v>691</v>
      </c>
      <c r="G627" s="39" t="s">
        <v>691</v>
      </c>
      <c r="H627" s="3">
        <f>IF(Sheet1!K635, 1, 0)
</f>
        <v>0</v>
      </c>
      <c r="I627" s="1" t="s">
        <v>692</v>
      </c>
      <c r="K627" s="39" t="s">
        <v>693</v>
      </c>
      <c r="M627" s="39" t="s">
        <v>693</v>
      </c>
    </row>
    <row r="628">
      <c r="A628" s="1" t="s">
        <v>703</v>
      </c>
      <c r="C628" s="39" t="s">
        <v>691</v>
      </c>
      <c r="G628" s="39" t="s">
        <v>691</v>
      </c>
      <c r="H628" s="3">
        <f>IF(Sheet1!K636, 1, 0)
</f>
        <v>0</v>
      </c>
      <c r="I628" s="1" t="s">
        <v>692</v>
      </c>
      <c r="K628" s="39" t="s">
        <v>693</v>
      </c>
      <c r="M628" s="39" t="s">
        <v>693</v>
      </c>
    </row>
    <row r="629">
      <c r="A629" s="1" t="s">
        <v>703</v>
      </c>
      <c r="C629" s="39" t="s">
        <v>691</v>
      </c>
      <c r="G629" s="39" t="s">
        <v>691</v>
      </c>
      <c r="H629" s="3">
        <f>IF(Sheet1!K637, 1, 0)
</f>
        <v>0</v>
      </c>
      <c r="I629" s="1" t="s">
        <v>692</v>
      </c>
      <c r="K629" s="39" t="s">
        <v>693</v>
      </c>
      <c r="M629" s="39" t="s">
        <v>693</v>
      </c>
    </row>
    <row r="630">
      <c r="A630" s="1" t="s">
        <v>703</v>
      </c>
      <c r="C630" s="39" t="s">
        <v>691</v>
      </c>
      <c r="G630" s="39" t="s">
        <v>691</v>
      </c>
      <c r="H630" s="3">
        <f>IF(Sheet1!K638, 1, 0)
</f>
        <v>0</v>
      </c>
      <c r="I630" s="1" t="s">
        <v>692</v>
      </c>
      <c r="K630" s="39" t="s">
        <v>693</v>
      </c>
      <c r="M630" s="39" t="s">
        <v>693</v>
      </c>
    </row>
    <row r="631">
      <c r="A631" s="1" t="s">
        <v>703</v>
      </c>
      <c r="C631" s="39" t="s">
        <v>691</v>
      </c>
      <c r="G631" s="39" t="s">
        <v>691</v>
      </c>
      <c r="H631" s="3">
        <f>IF(Sheet1!K639, 1, 0)
</f>
        <v>0</v>
      </c>
      <c r="I631" s="1" t="s">
        <v>692</v>
      </c>
      <c r="K631" s="39" t="s">
        <v>693</v>
      </c>
      <c r="M631" s="39" t="s">
        <v>693</v>
      </c>
    </row>
    <row r="632">
      <c r="A632" s="1" t="s">
        <v>703</v>
      </c>
      <c r="C632" s="39" t="s">
        <v>691</v>
      </c>
      <c r="G632" s="39" t="s">
        <v>691</v>
      </c>
      <c r="H632" s="3">
        <f>IF(Sheet1!K640, 1, 0)
</f>
        <v>0</v>
      </c>
      <c r="I632" s="1" t="s">
        <v>692</v>
      </c>
      <c r="K632" s="39" t="s">
        <v>693</v>
      </c>
      <c r="M632" s="39" t="s">
        <v>693</v>
      </c>
    </row>
    <row r="633">
      <c r="A633" s="1" t="s">
        <v>703</v>
      </c>
      <c r="C633" s="39" t="s">
        <v>691</v>
      </c>
      <c r="G633" s="39" t="s">
        <v>691</v>
      </c>
      <c r="H633" s="3">
        <f>IF(Sheet1!K641, 1, 0)
</f>
        <v>0</v>
      </c>
      <c r="I633" s="1" t="s">
        <v>692</v>
      </c>
      <c r="K633" s="39" t="s">
        <v>693</v>
      </c>
      <c r="M633" s="39" t="s">
        <v>693</v>
      </c>
    </row>
    <row r="634">
      <c r="A634" s="1" t="s">
        <v>703</v>
      </c>
      <c r="C634" s="39" t="s">
        <v>691</v>
      </c>
      <c r="G634" s="39" t="s">
        <v>691</v>
      </c>
      <c r="H634" s="3">
        <f>IF(Sheet1!K642, 1, 0)
</f>
        <v>0</v>
      </c>
      <c r="I634" s="1" t="s">
        <v>692</v>
      </c>
      <c r="K634" s="39" t="s">
        <v>693</v>
      </c>
      <c r="M634" s="39" t="s">
        <v>693</v>
      </c>
    </row>
    <row r="635">
      <c r="A635" s="1" t="s">
        <v>703</v>
      </c>
      <c r="C635" s="39" t="s">
        <v>691</v>
      </c>
      <c r="G635" s="39" t="s">
        <v>691</v>
      </c>
      <c r="H635" s="3">
        <f>IF(Sheet1!K643, 1, 0)
</f>
        <v>0</v>
      </c>
      <c r="I635" s="1" t="s">
        <v>692</v>
      </c>
      <c r="K635" s="39" t="s">
        <v>693</v>
      </c>
      <c r="M635" s="39" t="s">
        <v>693</v>
      </c>
    </row>
    <row r="636">
      <c r="A636" s="1" t="s">
        <v>703</v>
      </c>
      <c r="C636" s="39" t="s">
        <v>691</v>
      </c>
      <c r="G636" s="39" t="s">
        <v>691</v>
      </c>
      <c r="H636" s="3">
        <f>IF(Sheet1!K644, 1, 0)
</f>
        <v>0</v>
      </c>
      <c r="I636" s="1" t="s">
        <v>692</v>
      </c>
      <c r="K636" s="39" t="s">
        <v>693</v>
      </c>
      <c r="M636" s="39" t="s">
        <v>693</v>
      </c>
    </row>
    <row r="637">
      <c r="A637" s="1" t="s">
        <v>703</v>
      </c>
      <c r="C637" s="39" t="s">
        <v>691</v>
      </c>
      <c r="G637" s="39" t="s">
        <v>691</v>
      </c>
      <c r="H637" s="3">
        <f>IF(Sheet1!K645, 1, 0)
</f>
        <v>0</v>
      </c>
      <c r="I637" s="1" t="s">
        <v>692</v>
      </c>
      <c r="K637" s="39" t="s">
        <v>693</v>
      </c>
      <c r="M637" s="39" t="s">
        <v>693</v>
      </c>
    </row>
    <row r="638">
      <c r="A638" s="1" t="s">
        <v>703</v>
      </c>
      <c r="C638" s="39" t="s">
        <v>691</v>
      </c>
      <c r="G638" s="39" t="s">
        <v>691</v>
      </c>
      <c r="H638" s="3">
        <f>IF(Sheet1!K646, 1, 0)
</f>
        <v>0</v>
      </c>
      <c r="I638" s="1" t="s">
        <v>692</v>
      </c>
      <c r="K638" s="39" t="s">
        <v>693</v>
      </c>
      <c r="M638" s="39" t="s">
        <v>693</v>
      </c>
    </row>
    <row r="639">
      <c r="A639" s="1" t="s">
        <v>703</v>
      </c>
      <c r="C639" s="39" t="s">
        <v>691</v>
      </c>
      <c r="G639" s="39" t="s">
        <v>691</v>
      </c>
      <c r="H639" s="3">
        <f>IF(Sheet1!K647, 1, 0)
</f>
        <v>0</v>
      </c>
      <c r="I639" s="1" t="s">
        <v>692</v>
      </c>
      <c r="K639" s="39" t="s">
        <v>693</v>
      </c>
      <c r="M639" s="39" t="s">
        <v>693</v>
      </c>
    </row>
    <row r="640">
      <c r="A640" s="1" t="s">
        <v>703</v>
      </c>
      <c r="C640" s="39" t="s">
        <v>691</v>
      </c>
      <c r="G640" s="39" t="s">
        <v>691</v>
      </c>
      <c r="H640" s="3">
        <f>IF(Sheet1!K648, 1, 0)
</f>
        <v>0</v>
      </c>
      <c r="I640" s="1" t="s">
        <v>692</v>
      </c>
      <c r="K640" s="39" t="s">
        <v>693</v>
      </c>
      <c r="M640" s="39" t="s">
        <v>693</v>
      </c>
    </row>
    <row r="641">
      <c r="A641" s="1" t="s">
        <v>703</v>
      </c>
      <c r="C641" s="39" t="s">
        <v>691</v>
      </c>
      <c r="G641" s="39" t="s">
        <v>691</v>
      </c>
      <c r="H641" s="3">
        <f>IF(Sheet1!K649, 1, 0)
</f>
        <v>0</v>
      </c>
      <c r="I641" s="1" t="s">
        <v>692</v>
      </c>
      <c r="K641" s="39" t="s">
        <v>693</v>
      </c>
      <c r="M641" s="39" t="s">
        <v>693</v>
      </c>
    </row>
    <row r="642">
      <c r="A642" s="1" t="s">
        <v>703</v>
      </c>
      <c r="C642" s="39" t="s">
        <v>691</v>
      </c>
      <c r="G642" s="39" t="s">
        <v>691</v>
      </c>
      <c r="H642" s="3">
        <f>IF(Sheet1!K650, 1, 0)
</f>
        <v>0</v>
      </c>
      <c r="I642" s="1" t="s">
        <v>692</v>
      </c>
      <c r="K642" s="39" t="s">
        <v>693</v>
      </c>
      <c r="M642" s="39" t="s">
        <v>693</v>
      </c>
    </row>
    <row r="643">
      <c r="A643" s="1" t="s">
        <v>703</v>
      </c>
      <c r="C643" s="39" t="s">
        <v>691</v>
      </c>
      <c r="G643" s="39" t="s">
        <v>691</v>
      </c>
      <c r="H643" s="3">
        <f>IF(Sheet1!K651, 1, 0)
</f>
        <v>0</v>
      </c>
      <c r="I643" s="1" t="s">
        <v>692</v>
      </c>
      <c r="K643" s="39" t="s">
        <v>693</v>
      </c>
      <c r="M643" s="39" t="s">
        <v>693</v>
      </c>
    </row>
    <row r="644">
      <c r="A644" s="1" t="s">
        <v>703</v>
      </c>
      <c r="C644" s="39" t="s">
        <v>691</v>
      </c>
      <c r="G644" s="39" t="s">
        <v>691</v>
      </c>
      <c r="H644" s="3">
        <f>IF(Sheet1!K652, 1, 0)
</f>
        <v>0</v>
      </c>
      <c r="I644" s="1" t="s">
        <v>692</v>
      </c>
      <c r="K644" s="39" t="s">
        <v>693</v>
      </c>
      <c r="M644" s="39" t="s">
        <v>693</v>
      </c>
    </row>
    <row r="645">
      <c r="A645" s="1" t="s">
        <v>703</v>
      </c>
      <c r="C645" s="39" t="s">
        <v>691</v>
      </c>
      <c r="G645" s="39" t="s">
        <v>691</v>
      </c>
      <c r="H645" s="3">
        <f>IF(Sheet1!K653, 1, 0)
</f>
        <v>0</v>
      </c>
      <c r="I645" s="1" t="s">
        <v>692</v>
      </c>
      <c r="K645" s="39" t="s">
        <v>693</v>
      </c>
      <c r="M645" s="39" t="s">
        <v>693</v>
      </c>
    </row>
    <row r="646">
      <c r="A646" s="1" t="s">
        <v>703</v>
      </c>
      <c r="C646" s="39" t="s">
        <v>691</v>
      </c>
      <c r="G646" s="39" t="s">
        <v>691</v>
      </c>
      <c r="H646" s="3">
        <f>IF(Sheet1!K654, 1, 0)
</f>
        <v>0</v>
      </c>
      <c r="I646" s="1" t="s">
        <v>692</v>
      </c>
      <c r="K646" s="39" t="s">
        <v>693</v>
      </c>
      <c r="M646" s="39" t="s">
        <v>693</v>
      </c>
    </row>
    <row r="647">
      <c r="A647" s="1" t="s">
        <v>703</v>
      </c>
      <c r="C647" s="39" t="s">
        <v>691</v>
      </c>
      <c r="G647" s="39" t="s">
        <v>691</v>
      </c>
      <c r="H647" s="3">
        <f>IF(Sheet1!K655, 1, 0)
</f>
        <v>0</v>
      </c>
      <c r="I647" s="1" t="s">
        <v>692</v>
      </c>
      <c r="K647" s="39" t="s">
        <v>693</v>
      </c>
      <c r="M647" s="39" t="s">
        <v>693</v>
      </c>
    </row>
    <row r="648">
      <c r="A648" s="1" t="s">
        <v>703</v>
      </c>
      <c r="C648" s="39" t="s">
        <v>691</v>
      </c>
      <c r="G648" s="39" t="s">
        <v>691</v>
      </c>
      <c r="H648" s="3">
        <f>IF(Sheet1!K656, 1, 0)
</f>
        <v>0</v>
      </c>
      <c r="I648" s="1" t="s">
        <v>692</v>
      </c>
      <c r="K648" s="39" t="s">
        <v>693</v>
      </c>
      <c r="M648" s="39" t="s">
        <v>693</v>
      </c>
    </row>
    <row r="649">
      <c r="A649" s="1" t="s">
        <v>703</v>
      </c>
      <c r="C649" s="39" t="s">
        <v>691</v>
      </c>
      <c r="G649" s="39" t="s">
        <v>691</v>
      </c>
      <c r="H649" s="3">
        <f>IF(Sheet1!K657, 1, 0)
</f>
        <v>0</v>
      </c>
      <c r="I649" s="1" t="s">
        <v>692</v>
      </c>
      <c r="K649" s="39" t="s">
        <v>693</v>
      </c>
      <c r="M649" s="39" t="s">
        <v>693</v>
      </c>
    </row>
    <row r="650">
      <c r="A650" s="1" t="s">
        <v>703</v>
      </c>
      <c r="C650" s="39" t="s">
        <v>691</v>
      </c>
      <c r="G650" s="39" t="s">
        <v>691</v>
      </c>
      <c r="H650" s="3">
        <f>IF(Sheet1!K658, 1, 0)
</f>
        <v>0</v>
      </c>
      <c r="I650" s="1" t="s">
        <v>692</v>
      </c>
      <c r="K650" s="39" t="s">
        <v>693</v>
      </c>
      <c r="M650" s="39" t="s">
        <v>693</v>
      </c>
    </row>
    <row r="651">
      <c r="A651" s="1" t="s">
        <v>703</v>
      </c>
      <c r="C651" s="39" t="s">
        <v>691</v>
      </c>
      <c r="G651" s="39" t="s">
        <v>691</v>
      </c>
      <c r="H651" s="3">
        <f>IF(Sheet1!K659, 1, 0)
</f>
        <v>0</v>
      </c>
      <c r="I651" s="1" t="s">
        <v>692</v>
      </c>
      <c r="K651" s="39" t="s">
        <v>693</v>
      </c>
      <c r="M651" s="39" t="s">
        <v>693</v>
      </c>
    </row>
    <row r="652">
      <c r="A652" s="1" t="s">
        <v>703</v>
      </c>
      <c r="C652" s="39" t="s">
        <v>691</v>
      </c>
      <c r="G652" s="39" t="s">
        <v>691</v>
      </c>
      <c r="H652" s="3">
        <f>IF(Sheet1!K660, 1, 0)
</f>
        <v>0</v>
      </c>
      <c r="I652" s="1" t="s">
        <v>692</v>
      </c>
      <c r="K652" s="39" t="s">
        <v>693</v>
      </c>
      <c r="M652" s="39" t="s">
        <v>693</v>
      </c>
    </row>
    <row r="653">
      <c r="A653" s="1" t="s">
        <v>703</v>
      </c>
      <c r="C653" s="39" t="s">
        <v>691</v>
      </c>
      <c r="G653" s="39" t="s">
        <v>691</v>
      </c>
      <c r="H653" s="3">
        <f>IF(Sheet1!K661, 1, 0)
</f>
        <v>0</v>
      </c>
      <c r="I653" s="1" t="s">
        <v>692</v>
      </c>
      <c r="K653" s="39" t="s">
        <v>693</v>
      </c>
      <c r="M653" s="39" t="s">
        <v>693</v>
      </c>
    </row>
    <row r="654">
      <c r="A654" s="1" t="s">
        <v>703</v>
      </c>
      <c r="C654" s="39" t="s">
        <v>691</v>
      </c>
      <c r="G654" s="39" t="s">
        <v>691</v>
      </c>
      <c r="H654" s="3">
        <f>IF(Sheet1!K662, 1, 0)
</f>
        <v>0</v>
      </c>
      <c r="I654" s="1" t="s">
        <v>692</v>
      </c>
      <c r="K654" s="39" t="s">
        <v>693</v>
      </c>
      <c r="M654" s="39" t="s">
        <v>693</v>
      </c>
    </row>
    <row r="655">
      <c r="A655" s="1" t="s">
        <v>703</v>
      </c>
      <c r="C655" s="39" t="s">
        <v>691</v>
      </c>
      <c r="G655" s="39" t="s">
        <v>691</v>
      </c>
      <c r="H655" s="3">
        <f>IF(Sheet1!K663, 1, 0)
</f>
        <v>0</v>
      </c>
      <c r="I655" s="1" t="s">
        <v>692</v>
      </c>
      <c r="K655" s="39" t="s">
        <v>693</v>
      </c>
      <c r="M655" s="39" t="s">
        <v>693</v>
      </c>
    </row>
    <row r="656">
      <c r="A656" s="1" t="s">
        <v>703</v>
      </c>
      <c r="C656" s="39" t="s">
        <v>691</v>
      </c>
      <c r="G656" s="39" t="s">
        <v>691</v>
      </c>
      <c r="H656" s="3">
        <f>IF(Sheet1!K664, 1, 0)
</f>
        <v>0</v>
      </c>
      <c r="I656" s="1" t="s">
        <v>692</v>
      </c>
      <c r="K656" s="39" t="s">
        <v>693</v>
      </c>
      <c r="M656" s="39" t="s">
        <v>693</v>
      </c>
    </row>
    <row r="657">
      <c r="A657" s="1" t="s">
        <v>703</v>
      </c>
      <c r="C657" s="39" t="s">
        <v>691</v>
      </c>
      <c r="G657" s="39" t="s">
        <v>691</v>
      </c>
      <c r="H657" s="3">
        <f>IF(Sheet1!K665, 1, 0)
</f>
        <v>0</v>
      </c>
      <c r="I657" s="1" t="s">
        <v>692</v>
      </c>
      <c r="K657" s="39" t="s">
        <v>693</v>
      </c>
      <c r="M657" s="39" t="s">
        <v>693</v>
      </c>
    </row>
    <row r="658">
      <c r="A658" s="1" t="s">
        <v>703</v>
      </c>
      <c r="C658" s="39" t="s">
        <v>691</v>
      </c>
      <c r="G658" s="39" t="s">
        <v>691</v>
      </c>
      <c r="H658" s="3">
        <f>IF(Sheet1!K666, 1, 0)
</f>
        <v>0</v>
      </c>
      <c r="I658" s="1" t="s">
        <v>692</v>
      </c>
      <c r="K658" s="39" t="s">
        <v>693</v>
      </c>
      <c r="M658" s="39" t="s">
        <v>693</v>
      </c>
    </row>
    <row r="659">
      <c r="A659" s="1" t="s">
        <v>703</v>
      </c>
      <c r="C659" s="39" t="s">
        <v>691</v>
      </c>
      <c r="G659" s="39" t="s">
        <v>691</v>
      </c>
      <c r="H659" s="3">
        <f>IF(Sheet1!K667, 1, 0)
</f>
        <v>0</v>
      </c>
      <c r="I659" s="1" t="s">
        <v>692</v>
      </c>
      <c r="K659" s="39" t="s">
        <v>693</v>
      </c>
      <c r="M659" s="39" t="s">
        <v>693</v>
      </c>
    </row>
    <row r="660">
      <c r="A660" s="1" t="s">
        <v>703</v>
      </c>
      <c r="C660" s="39" t="s">
        <v>691</v>
      </c>
      <c r="G660" s="39" t="s">
        <v>691</v>
      </c>
      <c r="H660" s="3">
        <f>IF(Sheet1!K668, 1, 0)
</f>
        <v>0</v>
      </c>
      <c r="I660" s="1" t="s">
        <v>692</v>
      </c>
      <c r="K660" s="39" t="s">
        <v>693</v>
      </c>
      <c r="M660" s="39" t="s">
        <v>693</v>
      </c>
    </row>
    <row r="661">
      <c r="A661" s="1" t="s">
        <v>703</v>
      </c>
      <c r="C661" s="39" t="s">
        <v>691</v>
      </c>
      <c r="G661" s="39" t="s">
        <v>691</v>
      </c>
      <c r="H661" s="3">
        <f>IF(Sheet1!K669, 1, 0)
</f>
        <v>0</v>
      </c>
      <c r="I661" s="1" t="s">
        <v>692</v>
      </c>
      <c r="K661" s="39" t="s">
        <v>693</v>
      </c>
      <c r="M661" s="39" t="s">
        <v>693</v>
      </c>
    </row>
    <row r="662">
      <c r="A662" s="1" t="s">
        <v>703</v>
      </c>
      <c r="C662" s="39" t="s">
        <v>691</v>
      </c>
      <c r="G662" s="39" t="s">
        <v>691</v>
      </c>
      <c r="H662" s="3">
        <f>IF(Sheet1!K670, 1, 0)
</f>
        <v>0</v>
      </c>
      <c r="I662" s="1" t="s">
        <v>692</v>
      </c>
      <c r="K662" s="39" t="s">
        <v>693</v>
      </c>
      <c r="M662" s="39" t="s">
        <v>693</v>
      </c>
    </row>
    <row r="663">
      <c r="A663" s="1" t="s">
        <v>703</v>
      </c>
      <c r="C663" s="39" t="s">
        <v>691</v>
      </c>
      <c r="G663" s="39" t="s">
        <v>691</v>
      </c>
      <c r="H663" s="3">
        <f>IF(Sheet1!K671, 1, 0)
</f>
        <v>0</v>
      </c>
      <c r="I663" s="1" t="s">
        <v>692</v>
      </c>
      <c r="K663" s="39" t="s">
        <v>693</v>
      </c>
      <c r="M663" s="39" t="s">
        <v>693</v>
      </c>
    </row>
    <row r="664">
      <c r="A664" s="1" t="s">
        <v>703</v>
      </c>
      <c r="C664" s="39" t="s">
        <v>691</v>
      </c>
      <c r="G664" s="39" t="s">
        <v>691</v>
      </c>
      <c r="H664" s="3">
        <f>IF(Sheet1!K672, 1, 0)
</f>
        <v>0</v>
      </c>
      <c r="I664" s="1" t="s">
        <v>692</v>
      </c>
      <c r="K664" s="39" t="s">
        <v>693</v>
      </c>
      <c r="M664" s="39" t="s">
        <v>693</v>
      </c>
    </row>
    <row r="665">
      <c r="A665" s="1" t="s">
        <v>703</v>
      </c>
      <c r="C665" s="39" t="s">
        <v>691</v>
      </c>
      <c r="G665" s="39" t="s">
        <v>691</v>
      </c>
      <c r="H665" s="3">
        <f>IF(Sheet1!K673, 1, 0)
</f>
        <v>0</v>
      </c>
      <c r="I665" s="1" t="s">
        <v>692</v>
      </c>
      <c r="K665" s="39" t="s">
        <v>693</v>
      </c>
      <c r="M665" s="39" t="s">
        <v>693</v>
      </c>
    </row>
    <row r="666">
      <c r="A666" s="1" t="s">
        <v>703</v>
      </c>
      <c r="C666" s="39" t="s">
        <v>691</v>
      </c>
      <c r="G666" s="39" t="s">
        <v>691</v>
      </c>
      <c r="H666" s="3">
        <f>IF(Sheet1!K674, 1, 0)
</f>
        <v>0</v>
      </c>
      <c r="I666" s="1" t="s">
        <v>692</v>
      </c>
      <c r="K666" s="39" t="s">
        <v>693</v>
      </c>
      <c r="M666" s="39" t="s">
        <v>693</v>
      </c>
    </row>
    <row r="667">
      <c r="A667" s="1" t="s">
        <v>703</v>
      </c>
      <c r="C667" s="39" t="s">
        <v>691</v>
      </c>
      <c r="G667" s="39" t="s">
        <v>691</v>
      </c>
      <c r="H667" s="3">
        <f>IF(Sheet1!K675, 1, 0)
</f>
        <v>0</v>
      </c>
      <c r="I667" s="1" t="s">
        <v>692</v>
      </c>
      <c r="K667" s="39" t="s">
        <v>693</v>
      </c>
      <c r="M667" s="39" t="s">
        <v>693</v>
      </c>
    </row>
    <row r="668">
      <c r="A668" s="1" t="s">
        <v>703</v>
      </c>
      <c r="C668" s="39" t="s">
        <v>691</v>
      </c>
      <c r="G668" s="39" t="s">
        <v>691</v>
      </c>
      <c r="H668" s="3">
        <f>IF(Sheet1!K676, 1, 0)
</f>
        <v>0</v>
      </c>
      <c r="I668" s="1" t="s">
        <v>692</v>
      </c>
      <c r="K668" s="39" t="s">
        <v>693</v>
      </c>
      <c r="M668" s="39" t="s">
        <v>693</v>
      </c>
    </row>
    <row r="669">
      <c r="A669" s="1" t="s">
        <v>703</v>
      </c>
      <c r="C669" s="39" t="s">
        <v>691</v>
      </c>
      <c r="G669" s="39" t="s">
        <v>691</v>
      </c>
      <c r="H669" s="3">
        <f>IF(Sheet1!K677, 1, 0)
</f>
        <v>0</v>
      </c>
      <c r="I669" s="1" t="s">
        <v>692</v>
      </c>
      <c r="K669" s="39" t="s">
        <v>693</v>
      </c>
      <c r="M669" s="39" t="s">
        <v>693</v>
      </c>
    </row>
    <row r="670">
      <c r="A670" s="1" t="s">
        <v>703</v>
      </c>
      <c r="C670" s="39" t="s">
        <v>691</v>
      </c>
      <c r="G670" s="39" t="s">
        <v>691</v>
      </c>
      <c r="H670" s="3">
        <f>IF(Sheet1!K678, 1, 0)
</f>
        <v>0</v>
      </c>
      <c r="I670" s="1" t="s">
        <v>692</v>
      </c>
      <c r="K670" s="39" t="s">
        <v>693</v>
      </c>
      <c r="M670" s="39" t="s">
        <v>693</v>
      </c>
    </row>
    <row r="671">
      <c r="A671" s="1" t="s">
        <v>703</v>
      </c>
      <c r="C671" s="39" t="s">
        <v>691</v>
      </c>
      <c r="G671" s="39" t="s">
        <v>691</v>
      </c>
      <c r="H671" s="3">
        <f>IF(Sheet1!K679, 1, 0)
</f>
        <v>0</v>
      </c>
      <c r="I671" s="1" t="s">
        <v>692</v>
      </c>
      <c r="K671" s="39" t="s">
        <v>693</v>
      </c>
      <c r="M671" s="39" t="s">
        <v>693</v>
      </c>
    </row>
    <row r="672">
      <c r="A672" s="1" t="s">
        <v>703</v>
      </c>
      <c r="C672" s="39" t="s">
        <v>691</v>
      </c>
      <c r="G672" s="39" t="s">
        <v>691</v>
      </c>
      <c r="H672" s="3">
        <f>IF(Sheet1!K680, 1, 0)
</f>
        <v>0</v>
      </c>
      <c r="I672" s="1" t="s">
        <v>692</v>
      </c>
      <c r="K672" s="39" t="s">
        <v>693</v>
      </c>
      <c r="M672" s="39" t="s">
        <v>693</v>
      </c>
    </row>
    <row r="673">
      <c r="A673" s="1" t="s">
        <v>703</v>
      </c>
      <c r="C673" s="39" t="s">
        <v>691</v>
      </c>
      <c r="G673" s="39" t="s">
        <v>691</v>
      </c>
      <c r="H673" s="3">
        <f>IF(Sheet1!K681, 1, 0)
</f>
        <v>0</v>
      </c>
      <c r="I673" s="1" t="s">
        <v>692</v>
      </c>
      <c r="K673" s="39" t="s">
        <v>693</v>
      </c>
      <c r="M673" s="39" t="s">
        <v>693</v>
      </c>
    </row>
    <row r="674">
      <c r="A674" s="1" t="s">
        <v>703</v>
      </c>
      <c r="C674" s="39" t="s">
        <v>691</v>
      </c>
      <c r="G674" s="39" t="s">
        <v>691</v>
      </c>
      <c r="H674" s="3">
        <f>IF(Sheet1!K682, 1, 0)
</f>
        <v>0</v>
      </c>
      <c r="I674" s="1" t="s">
        <v>692</v>
      </c>
      <c r="K674" s="39" t="s">
        <v>693</v>
      </c>
      <c r="M674" s="39" t="s">
        <v>693</v>
      </c>
    </row>
    <row r="675">
      <c r="A675" s="1" t="s">
        <v>703</v>
      </c>
      <c r="C675" s="39" t="s">
        <v>691</v>
      </c>
      <c r="G675" s="39" t="s">
        <v>691</v>
      </c>
      <c r="H675" s="3">
        <f>IF(Sheet1!K683, 1, 0)
</f>
        <v>0</v>
      </c>
      <c r="I675" s="1" t="s">
        <v>692</v>
      </c>
      <c r="K675" s="39" t="s">
        <v>693</v>
      </c>
      <c r="M675" s="39" t="s">
        <v>693</v>
      </c>
    </row>
    <row r="676">
      <c r="A676" s="1" t="s">
        <v>703</v>
      </c>
      <c r="C676" s="39" t="s">
        <v>691</v>
      </c>
      <c r="G676" s="39" t="s">
        <v>691</v>
      </c>
      <c r="H676" s="3">
        <f>IF(Sheet1!K684, 1, 0)
</f>
        <v>0</v>
      </c>
      <c r="I676" s="1" t="s">
        <v>692</v>
      </c>
      <c r="K676" s="39" t="s">
        <v>693</v>
      </c>
      <c r="M676" s="39" t="s">
        <v>693</v>
      </c>
    </row>
    <row r="677">
      <c r="A677" s="1" t="s">
        <v>703</v>
      </c>
      <c r="C677" s="39" t="s">
        <v>691</v>
      </c>
      <c r="G677" s="39" t="s">
        <v>691</v>
      </c>
      <c r="H677" s="3">
        <f>IF(Sheet1!K685, 1, 0)
</f>
        <v>0</v>
      </c>
      <c r="I677" s="1" t="s">
        <v>692</v>
      </c>
      <c r="K677" s="39" t="s">
        <v>693</v>
      </c>
      <c r="M677" s="39" t="s">
        <v>693</v>
      </c>
    </row>
    <row r="678">
      <c r="A678" s="1" t="s">
        <v>703</v>
      </c>
      <c r="C678" s="39" t="s">
        <v>691</v>
      </c>
      <c r="G678" s="39" t="s">
        <v>691</v>
      </c>
      <c r="H678" s="3">
        <f>IF(Sheet1!K686, 1, 0)
</f>
        <v>0</v>
      </c>
      <c r="I678" s="1" t="s">
        <v>692</v>
      </c>
      <c r="K678" s="39" t="s">
        <v>693</v>
      </c>
      <c r="M678" s="39" t="s">
        <v>693</v>
      </c>
    </row>
    <row r="679">
      <c r="A679" s="1" t="s">
        <v>703</v>
      </c>
      <c r="C679" s="39" t="s">
        <v>691</v>
      </c>
      <c r="G679" s="39" t="s">
        <v>691</v>
      </c>
      <c r="H679" s="3">
        <f>IF(Sheet1!K687, 1, 0)
</f>
        <v>0</v>
      </c>
      <c r="I679" s="1" t="s">
        <v>692</v>
      </c>
      <c r="K679" s="39" t="s">
        <v>693</v>
      </c>
      <c r="M679" s="39" t="s">
        <v>693</v>
      </c>
    </row>
    <row r="680">
      <c r="A680" s="1" t="s">
        <v>703</v>
      </c>
      <c r="C680" s="39" t="s">
        <v>691</v>
      </c>
      <c r="G680" s="39" t="s">
        <v>691</v>
      </c>
      <c r="H680" s="3">
        <f>IF(Sheet1!K688, 1, 0)
</f>
        <v>0</v>
      </c>
      <c r="I680" s="1" t="s">
        <v>692</v>
      </c>
      <c r="K680" s="39" t="s">
        <v>693</v>
      </c>
      <c r="M680" s="39" t="s">
        <v>693</v>
      </c>
    </row>
    <row r="681">
      <c r="A681" s="1" t="s">
        <v>703</v>
      </c>
      <c r="C681" s="39" t="s">
        <v>691</v>
      </c>
      <c r="G681" s="39" t="s">
        <v>691</v>
      </c>
      <c r="H681" s="3">
        <f>IF(Sheet1!K689, 1, 0)
</f>
        <v>0</v>
      </c>
      <c r="I681" s="1" t="s">
        <v>692</v>
      </c>
      <c r="K681" s="39" t="s">
        <v>693</v>
      </c>
      <c r="M681" s="39" t="s">
        <v>693</v>
      </c>
    </row>
    <row r="682">
      <c r="A682" s="1" t="s">
        <v>703</v>
      </c>
      <c r="C682" s="39" t="s">
        <v>691</v>
      </c>
      <c r="G682" s="39" t="s">
        <v>691</v>
      </c>
      <c r="H682" s="3">
        <f>IF(Sheet1!K690, 1, 0)
</f>
        <v>0</v>
      </c>
      <c r="I682" s="1" t="s">
        <v>692</v>
      </c>
      <c r="K682" s="39" t="s">
        <v>693</v>
      </c>
      <c r="M682" s="39" t="s">
        <v>693</v>
      </c>
    </row>
    <row r="683">
      <c r="A683" s="1" t="s">
        <v>703</v>
      </c>
      <c r="C683" s="39" t="s">
        <v>691</v>
      </c>
      <c r="G683" s="39" t="s">
        <v>691</v>
      </c>
      <c r="H683" s="3">
        <f>IF(Sheet1!K691, 1, 0)
</f>
        <v>0</v>
      </c>
      <c r="I683" s="1" t="s">
        <v>692</v>
      </c>
      <c r="K683" s="39" t="s">
        <v>693</v>
      </c>
      <c r="M683" s="39" t="s">
        <v>693</v>
      </c>
    </row>
    <row r="684">
      <c r="A684" s="1" t="s">
        <v>703</v>
      </c>
      <c r="C684" s="39" t="s">
        <v>691</v>
      </c>
      <c r="G684" s="39" t="s">
        <v>691</v>
      </c>
      <c r="H684" s="3">
        <f>IF(Sheet1!K692, 1, 0)
</f>
        <v>0</v>
      </c>
      <c r="I684" s="1" t="s">
        <v>692</v>
      </c>
      <c r="K684" s="39" t="s">
        <v>693</v>
      </c>
      <c r="M684" s="39" t="s">
        <v>693</v>
      </c>
    </row>
    <row r="685">
      <c r="A685" s="1" t="s">
        <v>703</v>
      </c>
      <c r="C685" s="39" t="s">
        <v>691</v>
      </c>
      <c r="G685" s="39" t="s">
        <v>691</v>
      </c>
      <c r="H685" s="3">
        <f>IF(Sheet1!K693, 1, 0)
</f>
        <v>0</v>
      </c>
      <c r="I685" s="1" t="s">
        <v>692</v>
      </c>
      <c r="K685" s="39" t="s">
        <v>693</v>
      </c>
      <c r="M685" s="39" t="s">
        <v>693</v>
      </c>
    </row>
    <row r="686">
      <c r="A686" s="1" t="s">
        <v>703</v>
      </c>
      <c r="C686" s="39" t="s">
        <v>691</v>
      </c>
      <c r="G686" s="39" t="s">
        <v>691</v>
      </c>
      <c r="H686" s="3">
        <f>IF(Sheet1!K694, 1, 0)
</f>
        <v>0</v>
      </c>
      <c r="I686" s="1" t="s">
        <v>692</v>
      </c>
      <c r="K686" s="39" t="s">
        <v>693</v>
      </c>
      <c r="M686" s="39" t="s">
        <v>693</v>
      </c>
    </row>
    <row r="687">
      <c r="A687" s="1" t="s">
        <v>703</v>
      </c>
      <c r="C687" s="39" t="s">
        <v>691</v>
      </c>
      <c r="G687" s="39" t="s">
        <v>691</v>
      </c>
      <c r="H687" s="3">
        <f>IF(Sheet1!K695, 1, 0)
</f>
        <v>0</v>
      </c>
      <c r="I687" s="1" t="s">
        <v>692</v>
      </c>
      <c r="K687" s="39" t="s">
        <v>693</v>
      </c>
      <c r="M687" s="39" t="s">
        <v>693</v>
      </c>
    </row>
    <row r="688">
      <c r="A688" s="1" t="s">
        <v>703</v>
      </c>
      <c r="C688" s="39" t="s">
        <v>691</v>
      </c>
      <c r="G688" s="39" t="s">
        <v>691</v>
      </c>
      <c r="H688" s="3">
        <f>IF(Sheet1!K696, 1, 0)
</f>
        <v>0</v>
      </c>
      <c r="I688" s="1" t="s">
        <v>692</v>
      </c>
      <c r="K688" s="39" t="s">
        <v>693</v>
      </c>
      <c r="M688" s="39" t="s">
        <v>693</v>
      </c>
    </row>
    <row r="689">
      <c r="A689" s="1" t="s">
        <v>703</v>
      </c>
      <c r="C689" s="39" t="s">
        <v>691</v>
      </c>
      <c r="G689" s="39" t="s">
        <v>691</v>
      </c>
      <c r="H689" s="3">
        <f>IF(Sheet1!K697, 1, 0)
</f>
        <v>0</v>
      </c>
      <c r="I689" s="1" t="s">
        <v>692</v>
      </c>
      <c r="K689" s="39" t="s">
        <v>693</v>
      </c>
      <c r="M689" s="39" t="s">
        <v>693</v>
      </c>
    </row>
    <row r="690">
      <c r="A690" s="1" t="s">
        <v>703</v>
      </c>
      <c r="C690" s="39" t="s">
        <v>691</v>
      </c>
      <c r="G690" s="39" t="s">
        <v>691</v>
      </c>
      <c r="H690" s="3">
        <f>IF(Sheet1!K698, 1, 0)
</f>
        <v>0</v>
      </c>
      <c r="I690" s="1" t="s">
        <v>692</v>
      </c>
      <c r="K690" s="39" t="s">
        <v>693</v>
      </c>
      <c r="M690" s="39" t="s">
        <v>693</v>
      </c>
    </row>
    <row r="691">
      <c r="A691" s="1" t="s">
        <v>703</v>
      </c>
      <c r="C691" s="39" t="s">
        <v>691</v>
      </c>
      <c r="G691" s="39" t="s">
        <v>691</v>
      </c>
      <c r="H691" s="3">
        <f>IF(Sheet1!K699, 1, 0)
</f>
        <v>0</v>
      </c>
      <c r="I691" s="1" t="s">
        <v>692</v>
      </c>
      <c r="K691" s="39" t="s">
        <v>693</v>
      </c>
      <c r="M691" s="39" t="s">
        <v>693</v>
      </c>
    </row>
    <row r="692">
      <c r="A692" s="1" t="s">
        <v>703</v>
      </c>
      <c r="C692" s="39" t="s">
        <v>691</v>
      </c>
      <c r="G692" s="39" t="s">
        <v>691</v>
      </c>
      <c r="H692" s="3">
        <f>IF(Sheet1!K700, 1, 0)
</f>
        <v>0</v>
      </c>
      <c r="I692" s="1" t="s">
        <v>692</v>
      </c>
      <c r="K692" s="39" t="s">
        <v>693</v>
      </c>
      <c r="M692" s="39" t="s">
        <v>693</v>
      </c>
    </row>
    <row r="693">
      <c r="A693" s="1" t="s">
        <v>703</v>
      </c>
      <c r="C693" s="39" t="s">
        <v>691</v>
      </c>
      <c r="G693" s="39" t="s">
        <v>691</v>
      </c>
      <c r="H693" s="3">
        <f>IF(Sheet1!K701, 1, 0)
</f>
        <v>0</v>
      </c>
      <c r="I693" s="1" t="s">
        <v>692</v>
      </c>
      <c r="K693" s="39" t="s">
        <v>693</v>
      </c>
      <c r="M693" s="39" t="s">
        <v>693</v>
      </c>
    </row>
    <row r="694">
      <c r="A694" s="1" t="s">
        <v>703</v>
      </c>
      <c r="C694" s="39" t="s">
        <v>691</v>
      </c>
      <c r="G694" s="39" t="s">
        <v>691</v>
      </c>
      <c r="H694" s="3">
        <f>IF(Sheet1!K702, 1, 0)
</f>
        <v>0</v>
      </c>
      <c r="I694" s="1" t="s">
        <v>692</v>
      </c>
      <c r="K694" s="39" t="s">
        <v>693</v>
      </c>
      <c r="M694" s="39" t="s">
        <v>693</v>
      </c>
    </row>
    <row r="695">
      <c r="A695" s="1" t="s">
        <v>703</v>
      </c>
      <c r="C695" s="39" t="s">
        <v>691</v>
      </c>
      <c r="G695" s="39" t="s">
        <v>691</v>
      </c>
      <c r="H695" s="3">
        <f>IF(Sheet1!K703, 1, 0)
</f>
        <v>0</v>
      </c>
      <c r="I695" s="1" t="s">
        <v>692</v>
      </c>
      <c r="K695" s="39" t="s">
        <v>693</v>
      </c>
      <c r="M695" s="39" t="s">
        <v>693</v>
      </c>
    </row>
    <row r="696">
      <c r="A696" s="1" t="s">
        <v>703</v>
      </c>
      <c r="C696" s="39" t="s">
        <v>691</v>
      </c>
      <c r="G696" s="39" t="s">
        <v>691</v>
      </c>
      <c r="H696" s="3">
        <f>IF(Sheet1!K704, 1, 0)
</f>
        <v>0</v>
      </c>
      <c r="I696" s="1" t="s">
        <v>692</v>
      </c>
      <c r="K696" s="39" t="s">
        <v>693</v>
      </c>
      <c r="M696" s="39" t="s">
        <v>693</v>
      </c>
    </row>
    <row r="697">
      <c r="A697" s="1" t="s">
        <v>703</v>
      </c>
      <c r="C697" s="39" t="s">
        <v>691</v>
      </c>
      <c r="G697" s="39" t="s">
        <v>691</v>
      </c>
      <c r="H697" s="3">
        <f>IF(Sheet1!K705, 1, 0)
</f>
        <v>0</v>
      </c>
      <c r="I697" s="1" t="s">
        <v>692</v>
      </c>
      <c r="K697" s="39" t="s">
        <v>693</v>
      </c>
      <c r="M697" s="39" t="s">
        <v>693</v>
      </c>
    </row>
    <row r="698">
      <c r="A698" s="1" t="s">
        <v>703</v>
      </c>
      <c r="C698" s="39" t="s">
        <v>691</v>
      </c>
      <c r="G698" s="39" t="s">
        <v>691</v>
      </c>
      <c r="H698" s="3">
        <f>IF(Sheet1!K706, 1, 0)
</f>
        <v>0</v>
      </c>
      <c r="I698" s="1" t="s">
        <v>692</v>
      </c>
      <c r="K698" s="39" t="s">
        <v>693</v>
      </c>
      <c r="M698" s="39" t="s">
        <v>693</v>
      </c>
    </row>
    <row r="699">
      <c r="A699" s="1" t="s">
        <v>703</v>
      </c>
      <c r="C699" s="39" t="s">
        <v>691</v>
      </c>
      <c r="G699" s="39" t="s">
        <v>691</v>
      </c>
      <c r="H699" s="3">
        <f>IF(Sheet1!K707, 1, 0)
</f>
        <v>0</v>
      </c>
      <c r="I699" s="1" t="s">
        <v>692</v>
      </c>
      <c r="K699" s="39" t="s">
        <v>693</v>
      </c>
      <c r="M699" s="39" t="s">
        <v>693</v>
      </c>
    </row>
    <row r="700">
      <c r="A700" s="1" t="s">
        <v>703</v>
      </c>
      <c r="C700" s="39" t="s">
        <v>691</v>
      </c>
      <c r="G700" s="39" t="s">
        <v>691</v>
      </c>
      <c r="H700" s="3">
        <f>IF(Sheet1!K708, 1, 0)
</f>
        <v>0</v>
      </c>
      <c r="I700" s="1" t="s">
        <v>692</v>
      </c>
      <c r="K700" s="39" t="s">
        <v>693</v>
      </c>
      <c r="M700" s="39" t="s">
        <v>693</v>
      </c>
    </row>
    <row r="701">
      <c r="A701" s="1" t="s">
        <v>703</v>
      </c>
      <c r="C701" s="39" t="s">
        <v>691</v>
      </c>
      <c r="G701" s="39" t="s">
        <v>691</v>
      </c>
      <c r="H701" s="3">
        <f>IF(Sheet1!K709, 1, 0)
</f>
        <v>0</v>
      </c>
      <c r="I701" s="1" t="s">
        <v>692</v>
      </c>
      <c r="K701" s="39" t="s">
        <v>693</v>
      </c>
      <c r="M701" s="39" t="s">
        <v>693</v>
      </c>
    </row>
    <row r="702">
      <c r="A702" s="1" t="s">
        <v>703</v>
      </c>
      <c r="C702" s="39" t="s">
        <v>691</v>
      </c>
      <c r="G702" s="39" t="s">
        <v>691</v>
      </c>
      <c r="H702" s="3">
        <f>IF(Sheet1!K710, 1, 0)
</f>
        <v>0</v>
      </c>
      <c r="I702" s="1" t="s">
        <v>692</v>
      </c>
      <c r="K702" s="39" t="s">
        <v>693</v>
      </c>
      <c r="M702" s="39" t="s">
        <v>693</v>
      </c>
    </row>
    <row r="703">
      <c r="A703" s="1" t="s">
        <v>703</v>
      </c>
      <c r="C703" s="39" t="s">
        <v>691</v>
      </c>
      <c r="G703" s="39" t="s">
        <v>691</v>
      </c>
      <c r="H703" s="3">
        <f>IF(Sheet1!K711, 1, 0)
</f>
        <v>0</v>
      </c>
      <c r="I703" s="1" t="s">
        <v>692</v>
      </c>
      <c r="K703" s="39" t="s">
        <v>693</v>
      </c>
      <c r="M703" s="39" t="s">
        <v>693</v>
      </c>
    </row>
    <row r="704">
      <c r="A704" s="1" t="s">
        <v>703</v>
      </c>
      <c r="C704" s="39" t="s">
        <v>691</v>
      </c>
      <c r="G704" s="39" t="s">
        <v>691</v>
      </c>
      <c r="H704" s="3">
        <f>IF(Sheet1!K712, 1, 0)
</f>
        <v>0</v>
      </c>
      <c r="I704" s="1" t="s">
        <v>692</v>
      </c>
      <c r="K704" s="39" t="s">
        <v>693</v>
      </c>
      <c r="M704" s="39" t="s">
        <v>693</v>
      </c>
    </row>
    <row r="705">
      <c r="A705" s="1" t="s">
        <v>703</v>
      </c>
      <c r="C705" s="39" t="s">
        <v>691</v>
      </c>
      <c r="G705" s="39" t="s">
        <v>691</v>
      </c>
      <c r="H705" s="3">
        <f>IF(Sheet1!K713, 1, 0)
</f>
        <v>0</v>
      </c>
      <c r="I705" s="1" t="s">
        <v>692</v>
      </c>
      <c r="K705" s="39" t="s">
        <v>693</v>
      </c>
      <c r="M705" s="39" t="s">
        <v>693</v>
      </c>
    </row>
    <row r="706">
      <c r="A706" s="1" t="s">
        <v>703</v>
      </c>
      <c r="C706" s="39" t="s">
        <v>691</v>
      </c>
      <c r="G706" s="39" t="s">
        <v>691</v>
      </c>
      <c r="H706" s="3">
        <f>IF(Sheet1!K714, 1, 0)
</f>
        <v>0</v>
      </c>
      <c r="I706" s="1" t="s">
        <v>692</v>
      </c>
      <c r="K706" s="39" t="s">
        <v>693</v>
      </c>
      <c r="M706" s="39" t="s">
        <v>693</v>
      </c>
    </row>
    <row r="707">
      <c r="A707" s="1" t="s">
        <v>703</v>
      </c>
      <c r="C707" s="39" t="s">
        <v>691</v>
      </c>
      <c r="G707" s="39" t="s">
        <v>691</v>
      </c>
      <c r="H707" s="3">
        <f>IF(Sheet1!K715, 1, 0)
</f>
        <v>0</v>
      </c>
      <c r="I707" s="1" t="s">
        <v>692</v>
      </c>
      <c r="K707" s="39" t="s">
        <v>693</v>
      </c>
      <c r="M707" s="39" t="s">
        <v>693</v>
      </c>
    </row>
    <row r="708">
      <c r="A708" s="1" t="s">
        <v>703</v>
      </c>
      <c r="C708" s="39" t="s">
        <v>691</v>
      </c>
      <c r="G708" s="39" t="s">
        <v>691</v>
      </c>
      <c r="H708" s="3">
        <f>IF(Sheet1!K716, 1, 0)
</f>
        <v>0</v>
      </c>
      <c r="I708" s="1" t="s">
        <v>692</v>
      </c>
      <c r="K708" s="39" t="s">
        <v>693</v>
      </c>
      <c r="M708" s="39" t="s">
        <v>693</v>
      </c>
    </row>
    <row r="709">
      <c r="A709" s="1" t="s">
        <v>703</v>
      </c>
      <c r="C709" s="39" t="s">
        <v>691</v>
      </c>
      <c r="G709" s="39" t="s">
        <v>691</v>
      </c>
      <c r="H709" s="3">
        <f>IF(Sheet1!K717, 1, 0)
</f>
        <v>0</v>
      </c>
      <c r="I709" s="1" t="s">
        <v>692</v>
      </c>
      <c r="K709" s="39" t="s">
        <v>693</v>
      </c>
      <c r="M709" s="39" t="s">
        <v>693</v>
      </c>
    </row>
    <row r="710">
      <c r="A710" s="1" t="s">
        <v>703</v>
      </c>
      <c r="C710" s="39" t="s">
        <v>691</v>
      </c>
      <c r="G710" s="39" t="s">
        <v>691</v>
      </c>
      <c r="H710" s="3">
        <f>IF(Sheet1!K718, 1, 0)
</f>
        <v>0</v>
      </c>
      <c r="I710" s="1" t="s">
        <v>692</v>
      </c>
      <c r="K710" s="39" t="s">
        <v>693</v>
      </c>
      <c r="M710" s="39" t="s">
        <v>693</v>
      </c>
    </row>
    <row r="711">
      <c r="A711" s="1" t="s">
        <v>703</v>
      </c>
      <c r="C711" s="39" t="s">
        <v>691</v>
      </c>
      <c r="G711" s="39" t="s">
        <v>691</v>
      </c>
      <c r="H711" s="3">
        <f>IF(Sheet1!K719, 1, 0)
</f>
        <v>0</v>
      </c>
      <c r="I711" s="1" t="s">
        <v>692</v>
      </c>
      <c r="K711" s="39" t="s">
        <v>693</v>
      </c>
      <c r="M711" s="39" t="s">
        <v>693</v>
      </c>
    </row>
    <row r="712">
      <c r="A712" s="1" t="s">
        <v>703</v>
      </c>
      <c r="C712" s="39" t="s">
        <v>691</v>
      </c>
      <c r="G712" s="39" t="s">
        <v>691</v>
      </c>
      <c r="H712" s="3">
        <f>IF(Sheet1!K720, 1, 0)
</f>
        <v>0</v>
      </c>
      <c r="I712" s="1" t="s">
        <v>692</v>
      </c>
      <c r="K712" s="39" t="s">
        <v>693</v>
      </c>
      <c r="M712" s="39" t="s">
        <v>693</v>
      </c>
    </row>
    <row r="713">
      <c r="A713" s="1" t="s">
        <v>703</v>
      </c>
      <c r="C713" s="39" t="s">
        <v>691</v>
      </c>
      <c r="G713" s="39" t="s">
        <v>691</v>
      </c>
      <c r="H713" s="3">
        <f>IF(Sheet1!K721, 1, 0)
</f>
        <v>0</v>
      </c>
      <c r="I713" s="1" t="s">
        <v>692</v>
      </c>
      <c r="K713" s="39" t="s">
        <v>693</v>
      </c>
      <c r="M713" s="39" t="s">
        <v>693</v>
      </c>
    </row>
    <row r="714">
      <c r="A714" s="1" t="s">
        <v>703</v>
      </c>
      <c r="C714" s="39" t="s">
        <v>691</v>
      </c>
      <c r="G714" s="39" t="s">
        <v>691</v>
      </c>
      <c r="H714" s="3">
        <f>IF(Sheet1!K722, 1, 0)
</f>
        <v>0</v>
      </c>
      <c r="I714" s="1" t="s">
        <v>692</v>
      </c>
      <c r="K714" s="39" t="s">
        <v>693</v>
      </c>
      <c r="M714" s="39" t="s">
        <v>693</v>
      </c>
    </row>
    <row r="715">
      <c r="A715" s="1" t="s">
        <v>703</v>
      </c>
      <c r="C715" s="39" t="s">
        <v>691</v>
      </c>
      <c r="G715" s="39" t="s">
        <v>691</v>
      </c>
      <c r="H715" s="3">
        <f>IF(Sheet1!K723, 1, 0)
</f>
        <v>0</v>
      </c>
      <c r="I715" s="1" t="s">
        <v>692</v>
      </c>
      <c r="K715" s="39" t="s">
        <v>693</v>
      </c>
      <c r="M715" s="39" t="s">
        <v>693</v>
      </c>
    </row>
    <row r="716">
      <c r="A716" s="1" t="s">
        <v>703</v>
      </c>
      <c r="C716" s="39" t="s">
        <v>691</v>
      </c>
      <c r="G716" s="39" t="s">
        <v>691</v>
      </c>
      <c r="H716" s="3">
        <f>IF(Sheet1!K724, 1, 0)
</f>
        <v>0</v>
      </c>
      <c r="I716" s="1" t="s">
        <v>692</v>
      </c>
      <c r="K716" s="39" t="s">
        <v>693</v>
      </c>
      <c r="M716" s="39" t="s">
        <v>693</v>
      </c>
    </row>
    <row r="717">
      <c r="A717" s="1" t="s">
        <v>703</v>
      </c>
      <c r="C717" s="39" t="s">
        <v>691</v>
      </c>
      <c r="G717" s="39" t="s">
        <v>691</v>
      </c>
      <c r="H717" s="3">
        <f>IF(Sheet1!K725, 1, 0)
</f>
        <v>0</v>
      </c>
      <c r="I717" s="1" t="s">
        <v>692</v>
      </c>
      <c r="K717" s="39" t="s">
        <v>693</v>
      </c>
      <c r="M717" s="39" t="s">
        <v>693</v>
      </c>
    </row>
    <row r="718">
      <c r="A718" s="1" t="s">
        <v>703</v>
      </c>
      <c r="C718" s="39" t="s">
        <v>691</v>
      </c>
      <c r="G718" s="39" t="s">
        <v>691</v>
      </c>
      <c r="H718" s="3">
        <f>IF(Sheet1!K726, 1, 0)
</f>
        <v>0</v>
      </c>
      <c r="I718" s="1" t="s">
        <v>692</v>
      </c>
      <c r="K718" s="39" t="s">
        <v>693</v>
      </c>
      <c r="M718" s="39" t="s">
        <v>693</v>
      </c>
    </row>
    <row r="719">
      <c r="A719" s="1" t="s">
        <v>703</v>
      </c>
      <c r="C719" s="39" t="s">
        <v>691</v>
      </c>
      <c r="G719" s="39" t="s">
        <v>691</v>
      </c>
      <c r="H719" s="3">
        <f>IF(Sheet1!K727, 1, 0)
</f>
        <v>0</v>
      </c>
      <c r="I719" s="1" t="s">
        <v>692</v>
      </c>
      <c r="K719" s="39" t="s">
        <v>693</v>
      </c>
      <c r="M719" s="39" t="s">
        <v>693</v>
      </c>
    </row>
    <row r="720">
      <c r="A720" s="1" t="s">
        <v>703</v>
      </c>
      <c r="C720" s="39" t="s">
        <v>691</v>
      </c>
      <c r="G720" s="39" t="s">
        <v>691</v>
      </c>
      <c r="H720" s="3">
        <f>IF(Sheet1!K728, 1, 0)
</f>
        <v>0</v>
      </c>
      <c r="I720" s="1" t="s">
        <v>692</v>
      </c>
      <c r="K720" s="39" t="s">
        <v>693</v>
      </c>
      <c r="M720" s="39" t="s">
        <v>693</v>
      </c>
    </row>
    <row r="721">
      <c r="A721" s="1" t="s">
        <v>703</v>
      </c>
      <c r="C721" s="39" t="s">
        <v>691</v>
      </c>
      <c r="G721" s="39" t="s">
        <v>691</v>
      </c>
      <c r="H721" s="3">
        <f>IF(Sheet1!K729, 1, 0)
</f>
        <v>0</v>
      </c>
      <c r="I721" s="1" t="s">
        <v>692</v>
      </c>
      <c r="K721" s="39" t="s">
        <v>693</v>
      </c>
      <c r="M721" s="39" t="s">
        <v>693</v>
      </c>
    </row>
    <row r="722">
      <c r="A722" s="1" t="s">
        <v>703</v>
      </c>
      <c r="C722" s="39" t="s">
        <v>691</v>
      </c>
      <c r="G722" s="39" t="s">
        <v>691</v>
      </c>
      <c r="H722" s="3">
        <f>IF(Sheet1!K730, 1, 0)
</f>
        <v>0</v>
      </c>
      <c r="I722" s="1" t="s">
        <v>692</v>
      </c>
      <c r="K722" s="39" t="s">
        <v>693</v>
      </c>
      <c r="M722" s="39" t="s">
        <v>693</v>
      </c>
    </row>
    <row r="723">
      <c r="A723" s="1" t="s">
        <v>703</v>
      </c>
      <c r="C723" s="39" t="s">
        <v>691</v>
      </c>
      <c r="G723" s="39" t="s">
        <v>691</v>
      </c>
      <c r="H723" s="3">
        <f>IF(Sheet1!K731, 1, 0)
</f>
        <v>0</v>
      </c>
      <c r="I723" s="1" t="s">
        <v>692</v>
      </c>
      <c r="K723" s="39" t="s">
        <v>693</v>
      </c>
      <c r="M723" s="39" t="s">
        <v>693</v>
      </c>
    </row>
    <row r="724">
      <c r="A724" s="1" t="s">
        <v>703</v>
      </c>
      <c r="C724" s="39" t="s">
        <v>691</v>
      </c>
      <c r="G724" s="39" t="s">
        <v>691</v>
      </c>
      <c r="H724" s="3">
        <f>IF(Sheet1!K732, 1, 0)
</f>
        <v>0</v>
      </c>
      <c r="I724" s="1" t="s">
        <v>692</v>
      </c>
      <c r="K724" s="39" t="s">
        <v>693</v>
      </c>
      <c r="M724" s="39" t="s">
        <v>693</v>
      </c>
    </row>
    <row r="725">
      <c r="A725" s="1" t="s">
        <v>703</v>
      </c>
      <c r="C725" s="39" t="s">
        <v>691</v>
      </c>
      <c r="G725" s="39" t="s">
        <v>691</v>
      </c>
      <c r="H725" s="3">
        <f>IF(Sheet1!K733, 1, 0)
</f>
        <v>0</v>
      </c>
      <c r="I725" s="1" t="s">
        <v>692</v>
      </c>
      <c r="K725" s="39" t="s">
        <v>693</v>
      </c>
      <c r="M725" s="39" t="s">
        <v>693</v>
      </c>
    </row>
    <row r="726">
      <c r="A726" s="1" t="s">
        <v>703</v>
      </c>
      <c r="C726" s="39" t="s">
        <v>691</v>
      </c>
      <c r="G726" s="39" t="s">
        <v>691</v>
      </c>
      <c r="H726" s="3">
        <f>IF(Sheet1!K734, 1, 0)
</f>
        <v>0</v>
      </c>
      <c r="I726" s="1" t="s">
        <v>692</v>
      </c>
      <c r="K726" s="39" t="s">
        <v>693</v>
      </c>
      <c r="M726" s="39" t="s">
        <v>693</v>
      </c>
    </row>
    <row r="727">
      <c r="A727" s="1" t="s">
        <v>703</v>
      </c>
      <c r="C727" s="39" t="s">
        <v>691</v>
      </c>
      <c r="G727" s="39" t="s">
        <v>691</v>
      </c>
      <c r="H727" s="3">
        <f>IF(Sheet1!K735, 1, 0)
</f>
        <v>0</v>
      </c>
      <c r="I727" s="1" t="s">
        <v>692</v>
      </c>
      <c r="K727" s="39" t="s">
        <v>693</v>
      </c>
      <c r="M727" s="39" t="s">
        <v>693</v>
      </c>
    </row>
    <row r="728">
      <c r="A728" s="1" t="s">
        <v>703</v>
      </c>
      <c r="C728" s="39" t="s">
        <v>691</v>
      </c>
      <c r="G728" s="39" t="s">
        <v>691</v>
      </c>
      <c r="H728" s="3">
        <f>IF(Sheet1!K736, 1, 0)
</f>
        <v>0</v>
      </c>
      <c r="I728" s="1" t="s">
        <v>692</v>
      </c>
      <c r="K728" s="39" t="s">
        <v>693</v>
      </c>
      <c r="M728" s="39" t="s">
        <v>693</v>
      </c>
    </row>
    <row r="729">
      <c r="A729" s="1" t="s">
        <v>703</v>
      </c>
      <c r="C729" s="39" t="s">
        <v>691</v>
      </c>
      <c r="G729" s="39" t="s">
        <v>691</v>
      </c>
      <c r="H729" s="3">
        <f>IF(Sheet1!K737, 1, 0)
</f>
        <v>0</v>
      </c>
      <c r="I729" s="1" t="s">
        <v>692</v>
      </c>
      <c r="K729" s="39" t="s">
        <v>693</v>
      </c>
      <c r="M729" s="39" t="s">
        <v>693</v>
      </c>
    </row>
    <row r="730">
      <c r="A730" s="1" t="s">
        <v>703</v>
      </c>
      <c r="C730" s="39" t="s">
        <v>691</v>
      </c>
      <c r="G730" s="39" t="s">
        <v>691</v>
      </c>
      <c r="H730" s="3">
        <f>IF(Sheet1!K738, 1, 0)
</f>
        <v>0</v>
      </c>
      <c r="I730" s="1" t="s">
        <v>692</v>
      </c>
      <c r="K730" s="39" t="s">
        <v>693</v>
      </c>
      <c r="M730" s="39" t="s">
        <v>693</v>
      </c>
    </row>
    <row r="731">
      <c r="A731" s="1" t="s">
        <v>703</v>
      </c>
      <c r="C731" s="39" t="s">
        <v>691</v>
      </c>
      <c r="G731" s="39" t="s">
        <v>691</v>
      </c>
      <c r="H731" s="3">
        <f>IF(Sheet1!K739, 1, 0)
</f>
        <v>0</v>
      </c>
      <c r="I731" s="1" t="s">
        <v>692</v>
      </c>
      <c r="K731" s="39" t="s">
        <v>693</v>
      </c>
      <c r="M731" s="39" t="s">
        <v>693</v>
      </c>
    </row>
    <row r="732">
      <c r="A732" s="1" t="s">
        <v>703</v>
      </c>
      <c r="C732" s="39" t="s">
        <v>691</v>
      </c>
      <c r="G732" s="39" t="s">
        <v>691</v>
      </c>
      <c r="H732" s="3">
        <f>IF(Sheet1!K740, 1, 0)
</f>
        <v>0</v>
      </c>
      <c r="I732" s="1" t="s">
        <v>692</v>
      </c>
      <c r="K732" s="39" t="s">
        <v>693</v>
      </c>
      <c r="M732" s="39" t="s">
        <v>693</v>
      </c>
    </row>
    <row r="733">
      <c r="A733" s="1" t="s">
        <v>703</v>
      </c>
      <c r="C733" s="39" t="s">
        <v>691</v>
      </c>
      <c r="G733" s="39" t="s">
        <v>691</v>
      </c>
      <c r="H733" s="3">
        <f>IF(Sheet1!K741, 1, 0)
</f>
        <v>0</v>
      </c>
      <c r="I733" s="1" t="s">
        <v>692</v>
      </c>
      <c r="K733" s="39" t="s">
        <v>693</v>
      </c>
      <c r="M733" s="39" t="s">
        <v>693</v>
      </c>
    </row>
    <row r="734">
      <c r="A734" s="1" t="s">
        <v>703</v>
      </c>
      <c r="C734" s="39" t="s">
        <v>691</v>
      </c>
      <c r="G734" s="39" t="s">
        <v>691</v>
      </c>
      <c r="H734" s="3">
        <f>IF(Sheet1!K742, 1, 0)
</f>
        <v>0</v>
      </c>
      <c r="I734" s="1" t="s">
        <v>692</v>
      </c>
      <c r="K734" s="39" t="s">
        <v>693</v>
      </c>
      <c r="M734" s="39" t="s">
        <v>693</v>
      </c>
    </row>
    <row r="735">
      <c r="A735" s="1" t="s">
        <v>703</v>
      </c>
      <c r="C735" s="39" t="s">
        <v>691</v>
      </c>
      <c r="G735" s="39" t="s">
        <v>691</v>
      </c>
      <c r="H735" s="3">
        <f>IF(Sheet1!K743, 1, 0)
</f>
        <v>0</v>
      </c>
      <c r="I735" s="1" t="s">
        <v>692</v>
      </c>
      <c r="K735" s="39" t="s">
        <v>693</v>
      </c>
      <c r="M735" s="39" t="s">
        <v>693</v>
      </c>
    </row>
    <row r="736">
      <c r="A736" s="1" t="s">
        <v>703</v>
      </c>
      <c r="C736" s="39" t="s">
        <v>691</v>
      </c>
      <c r="G736" s="39" t="s">
        <v>691</v>
      </c>
      <c r="H736" s="3">
        <f>IF(Sheet1!K744, 1, 0)
</f>
        <v>0</v>
      </c>
      <c r="I736" s="1" t="s">
        <v>692</v>
      </c>
      <c r="K736" s="39" t="s">
        <v>693</v>
      </c>
      <c r="M736" s="39" t="s">
        <v>693</v>
      </c>
    </row>
    <row r="737">
      <c r="A737" s="1" t="s">
        <v>703</v>
      </c>
      <c r="C737" s="39" t="s">
        <v>691</v>
      </c>
      <c r="G737" s="39" t="s">
        <v>691</v>
      </c>
      <c r="H737" s="3">
        <f>IF(Sheet1!K745, 1, 0)
</f>
        <v>0</v>
      </c>
      <c r="I737" s="1" t="s">
        <v>692</v>
      </c>
      <c r="K737" s="39" t="s">
        <v>693</v>
      </c>
      <c r="M737" s="39" t="s">
        <v>693</v>
      </c>
    </row>
    <row r="738">
      <c r="A738" s="1" t="s">
        <v>703</v>
      </c>
      <c r="C738" s="39" t="s">
        <v>691</v>
      </c>
      <c r="G738" s="39" t="s">
        <v>691</v>
      </c>
      <c r="H738" s="3">
        <f>IF(Sheet1!K746, 1, 0)
</f>
        <v>0</v>
      </c>
      <c r="I738" s="1" t="s">
        <v>692</v>
      </c>
      <c r="K738" s="39" t="s">
        <v>693</v>
      </c>
      <c r="M738" s="39" t="s">
        <v>693</v>
      </c>
    </row>
    <row r="739">
      <c r="A739" s="1" t="s">
        <v>703</v>
      </c>
      <c r="C739" s="39" t="s">
        <v>691</v>
      </c>
      <c r="G739" s="39" t="s">
        <v>691</v>
      </c>
      <c r="H739" s="3">
        <f>IF(Sheet1!K747, 1, 0)
</f>
        <v>0</v>
      </c>
      <c r="I739" s="1" t="s">
        <v>692</v>
      </c>
      <c r="K739" s="39" t="s">
        <v>693</v>
      </c>
      <c r="M739" s="39" t="s">
        <v>693</v>
      </c>
    </row>
    <row r="740">
      <c r="A740" s="1" t="s">
        <v>703</v>
      </c>
      <c r="C740" s="39" t="s">
        <v>691</v>
      </c>
      <c r="G740" s="39" t="s">
        <v>691</v>
      </c>
      <c r="H740" s="3">
        <f>IF(Sheet1!K748, 1, 0)
</f>
        <v>0</v>
      </c>
      <c r="I740" s="1" t="s">
        <v>692</v>
      </c>
      <c r="K740" s="39" t="s">
        <v>693</v>
      </c>
      <c r="M740" s="39" t="s">
        <v>693</v>
      </c>
    </row>
    <row r="741">
      <c r="A741" s="1" t="s">
        <v>703</v>
      </c>
      <c r="C741" s="39" t="s">
        <v>691</v>
      </c>
      <c r="G741" s="39" t="s">
        <v>691</v>
      </c>
      <c r="H741" s="3">
        <f>IF(Sheet1!K749, 1, 0)
</f>
        <v>0</v>
      </c>
      <c r="I741" s="1" t="s">
        <v>692</v>
      </c>
      <c r="K741" s="39" t="s">
        <v>693</v>
      </c>
      <c r="M741" s="39" t="s">
        <v>693</v>
      </c>
    </row>
    <row r="742">
      <c r="A742" s="1" t="s">
        <v>703</v>
      </c>
      <c r="C742" s="39" t="s">
        <v>691</v>
      </c>
      <c r="G742" s="39" t="s">
        <v>691</v>
      </c>
      <c r="H742" s="3">
        <f>IF(Sheet1!K750, 1, 0)
</f>
        <v>0</v>
      </c>
      <c r="I742" s="1" t="s">
        <v>692</v>
      </c>
      <c r="K742" s="39" t="s">
        <v>693</v>
      </c>
      <c r="M742" s="39" t="s">
        <v>693</v>
      </c>
    </row>
    <row r="743">
      <c r="A743" s="1" t="s">
        <v>703</v>
      </c>
      <c r="C743" s="39" t="s">
        <v>691</v>
      </c>
      <c r="G743" s="39" t="s">
        <v>691</v>
      </c>
      <c r="H743" s="3">
        <f>IF(Sheet1!K751, 1, 0)
</f>
        <v>0</v>
      </c>
      <c r="I743" s="1" t="s">
        <v>692</v>
      </c>
      <c r="K743" s="39" t="s">
        <v>693</v>
      </c>
      <c r="M743" s="39" t="s">
        <v>693</v>
      </c>
    </row>
    <row r="744">
      <c r="A744" s="1" t="s">
        <v>703</v>
      </c>
      <c r="C744" s="39" t="s">
        <v>691</v>
      </c>
      <c r="G744" s="39" t="s">
        <v>691</v>
      </c>
      <c r="H744" s="3">
        <f>IF(Sheet1!K752, 1, 0)
</f>
        <v>0</v>
      </c>
      <c r="I744" s="1" t="s">
        <v>692</v>
      </c>
      <c r="K744" s="39" t="s">
        <v>693</v>
      </c>
      <c r="M744" s="39" t="s">
        <v>693</v>
      </c>
    </row>
    <row r="745">
      <c r="A745" s="1" t="s">
        <v>703</v>
      </c>
      <c r="C745" s="39" t="s">
        <v>691</v>
      </c>
      <c r="G745" s="39" t="s">
        <v>691</v>
      </c>
      <c r="H745" s="3">
        <f>IF(Sheet1!K753, 1, 0)
</f>
        <v>0</v>
      </c>
      <c r="I745" s="1" t="s">
        <v>692</v>
      </c>
      <c r="K745" s="39" t="s">
        <v>693</v>
      </c>
      <c r="M745" s="39" t="s">
        <v>693</v>
      </c>
    </row>
    <row r="746">
      <c r="A746" s="1" t="s">
        <v>703</v>
      </c>
      <c r="C746" s="39" t="s">
        <v>691</v>
      </c>
      <c r="G746" s="39" t="s">
        <v>691</v>
      </c>
      <c r="H746" s="3">
        <f>IF(Sheet1!K754, 1, 0)
</f>
        <v>0</v>
      </c>
      <c r="I746" s="1" t="s">
        <v>692</v>
      </c>
      <c r="K746" s="39" t="s">
        <v>693</v>
      </c>
      <c r="M746" s="39" t="s">
        <v>693</v>
      </c>
    </row>
    <row r="747">
      <c r="A747" s="1" t="s">
        <v>703</v>
      </c>
      <c r="C747" s="39" t="s">
        <v>691</v>
      </c>
      <c r="G747" s="39" t="s">
        <v>691</v>
      </c>
      <c r="H747" s="3">
        <f>IF(Sheet1!K755, 1, 0)
</f>
        <v>0</v>
      </c>
      <c r="I747" s="1" t="s">
        <v>692</v>
      </c>
      <c r="K747" s="39" t="s">
        <v>693</v>
      </c>
      <c r="M747" s="39" t="s">
        <v>693</v>
      </c>
    </row>
    <row r="748">
      <c r="A748" s="1" t="s">
        <v>703</v>
      </c>
      <c r="C748" s="39" t="s">
        <v>691</v>
      </c>
      <c r="G748" s="39" t="s">
        <v>691</v>
      </c>
      <c r="H748" s="3">
        <f>IF(Sheet1!K756, 1, 0)
</f>
        <v>0</v>
      </c>
      <c r="I748" s="1" t="s">
        <v>692</v>
      </c>
      <c r="K748" s="39" t="s">
        <v>693</v>
      </c>
      <c r="M748" s="39" t="s">
        <v>693</v>
      </c>
    </row>
    <row r="749">
      <c r="A749" s="1" t="s">
        <v>703</v>
      </c>
      <c r="C749" s="39" t="s">
        <v>691</v>
      </c>
      <c r="G749" s="39" t="s">
        <v>691</v>
      </c>
      <c r="H749" s="3">
        <f>IF(Sheet1!K757, 1, 0)
</f>
        <v>0</v>
      </c>
      <c r="I749" s="1" t="s">
        <v>692</v>
      </c>
      <c r="K749" s="39" t="s">
        <v>693</v>
      </c>
      <c r="M749" s="39" t="s">
        <v>693</v>
      </c>
    </row>
    <row r="750">
      <c r="A750" s="1" t="s">
        <v>703</v>
      </c>
      <c r="C750" s="39" t="s">
        <v>691</v>
      </c>
      <c r="G750" s="39" t="s">
        <v>691</v>
      </c>
      <c r="H750" s="3">
        <f>IF(Sheet1!K758, 1, 0)
</f>
        <v>0</v>
      </c>
      <c r="I750" s="1" t="s">
        <v>692</v>
      </c>
      <c r="K750" s="39" t="s">
        <v>693</v>
      </c>
      <c r="M750" s="39" t="s">
        <v>693</v>
      </c>
    </row>
    <row r="751">
      <c r="A751" s="1" t="s">
        <v>703</v>
      </c>
      <c r="C751" s="39" t="s">
        <v>691</v>
      </c>
      <c r="G751" s="39" t="s">
        <v>691</v>
      </c>
      <c r="H751" s="3">
        <f>IF(Sheet1!K759, 1, 0)
</f>
        <v>0</v>
      </c>
      <c r="I751" s="1" t="s">
        <v>692</v>
      </c>
      <c r="K751" s="39" t="s">
        <v>693</v>
      </c>
      <c r="M751" s="39" t="s">
        <v>693</v>
      </c>
    </row>
    <row r="752">
      <c r="A752" s="1" t="s">
        <v>703</v>
      </c>
      <c r="C752" s="39" t="s">
        <v>691</v>
      </c>
      <c r="G752" s="39" t="s">
        <v>691</v>
      </c>
      <c r="H752" s="3">
        <f>IF(Sheet1!K760, 1, 0)
</f>
        <v>0</v>
      </c>
      <c r="I752" s="1" t="s">
        <v>692</v>
      </c>
      <c r="K752" s="39" t="s">
        <v>693</v>
      </c>
      <c r="M752" s="39" t="s">
        <v>693</v>
      </c>
    </row>
    <row r="753">
      <c r="A753" s="1" t="s">
        <v>703</v>
      </c>
      <c r="C753" s="39" t="s">
        <v>691</v>
      </c>
      <c r="G753" s="39" t="s">
        <v>691</v>
      </c>
      <c r="H753" s="3">
        <f>IF(Sheet1!K761, 1, 0)
</f>
        <v>0</v>
      </c>
      <c r="I753" s="1" t="s">
        <v>692</v>
      </c>
      <c r="K753" s="39" t="s">
        <v>693</v>
      </c>
      <c r="M753" s="39" t="s">
        <v>693</v>
      </c>
    </row>
    <row r="754">
      <c r="A754" s="1" t="s">
        <v>703</v>
      </c>
      <c r="C754" s="39" t="s">
        <v>691</v>
      </c>
      <c r="G754" s="39" t="s">
        <v>691</v>
      </c>
      <c r="H754" s="3">
        <f>IF(Sheet1!K762, 1, 0)
</f>
        <v>0</v>
      </c>
      <c r="I754" s="1" t="s">
        <v>692</v>
      </c>
      <c r="K754" s="39" t="s">
        <v>693</v>
      </c>
      <c r="M754" s="39" t="s">
        <v>693</v>
      </c>
    </row>
    <row r="755">
      <c r="A755" s="1" t="s">
        <v>703</v>
      </c>
      <c r="C755" s="39" t="s">
        <v>691</v>
      </c>
      <c r="G755" s="39" t="s">
        <v>691</v>
      </c>
      <c r="H755" s="3">
        <f>IF(Sheet1!K763, 1, 0)
</f>
        <v>0</v>
      </c>
      <c r="I755" s="1" t="s">
        <v>692</v>
      </c>
      <c r="K755" s="39" t="s">
        <v>693</v>
      </c>
      <c r="M755" s="39" t="s">
        <v>693</v>
      </c>
    </row>
    <row r="756">
      <c r="A756" s="1" t="s">
        <v>703</v>
      </c>
      <c r="C756" s="39" t="s">
        <v>691</v>
      </c>
      <c r="G756" s="39" t="s">
        <v>691</v>
      </c>
      <c r="H756" s="3">
        <f>IF(Sheet1!K764, 1, 0)
</f>
        <v>0</v>
      </c>
      <c r="I756" s="1" t="s">
        <v>692</v>
      </c>
      <c r="K756" s="39" t="s">
        <v>693</v>
      </c>
      <c r="M756" s="39" t="s">
        <v>693</v>
      </c>
    </row>
    <row r="757">
      <c r="A757" s="1" t="s">
        <v>703</v>
      </c>
      <c r="C757" s="39" t="s">
        <v>691</v>
      </c>
      <c r="G757" s="39" t="s">
        <v>691</v>
      </c>
      <c r="H757" s="3">
        <f>IF(Sheet1!K765, 1, 0)
</f>
        <v>0</v>
      </c>
      <c r="I757" s="1" t="s">
        <v>692</v>
      </c>
      <c r="K757" s="39" t="s">
        <v>693</v>
      </c>
      <c r="M757" s="39" t="s">
        <v>693</v>
      </c>
    </row>
    <row r="758">
      <c r="A758" s="1" t="s">
        <v>703</v>
      </c>
      <c r="C758" s="39" t="s">
        <v>691</v>
      </c>
      <c r="G758" s="39" t="s">
        <v>691</v>
      </c>
      <c r="H758" s="3">
        <f>IF(Sheet1!K766, 1, 0)
</f>
        <v>0</v>
      </c>
      <c r="I758" s="1" t="s">
        <v>692</v>
      </c>
      <c r="K758" s="39" t="s">
        <v>693</v>
      </c>
      <c r="M758" s="39" t="s">
        <v>693</v>
      </c>
    </row>
    <row r="759">
      <c r="A759" s="1" t="s">
        <v>703</v>
      </c>
      <c r="C759" s="39" t="s">
        <v>691</v>
      </c>
      <c r="G759" s="39" t="s">
        <v>691</v>
      </c>
      <c r="H759" s="3">
        <f>IF(Sheet1!K767, 1, 0)
</f>
        <v>0</v>
      </c>
      <c r="I759" s="1" t="s">
        <v>692</v>
      </c>
      <c r="K759" s="39" t="s">
        <v>693</v>
      </c>
      <c r="M759" s="39" t="s">
        <v>693</v>
      </c>
    </row>
    <row r="760">
      <c r="A760" s="1" t="s">
        <v>703</v>
      </c>
      <c r="C760" s="39" t="s">
        <v>691</v>
      </c>
      <c r="G760" s="39" t="s">
        <v>691</v>
      </c>
      <c r="H760" s="3">
        <f>IF(Sheet1!K768, 1, 0)
</f>
        <v>0</v>
      </c>
      <c r="I760" s="1" t="s">
        <v>692</v>
      </c>
      <c r="K760" s="39" t="s">
        <v>693</v>
      </c>
      <c r="M760" s="39" t="s">
        <v>693</v>
      </c>
    </row>
    <row r="761">
      <c r="A761" s="1" t="s">
        <v>703</v>
      </c>
      <c r="C761" s="39" t="s">
        <v>691</v>
      </c>
      <c r="G761" s="39" t="s">
        <v>691</v>
      </c>
      <c r="H761" s="3">
        <f>IF(Sheet1!K769, 1, 0)
</f>
        <v>0</v>
      </c>
      <c r="I761" s="1" t="s">
        <v>692</v>
      </c>
      <c r="K761" s="39" t="s">
        <v>693</v>
      </c>
      <c r="M761" s="39" t="s">
        <v>693</v>
      </c>
    </row>
    <row r="762">
      <c r="A762" s="1" t="s">
        <v>703</v>
      </c>
      <c r="C762" s="39" t="s">
        <v>691</v>
      </c>
      <c r="G762" s="39" t="s">
        <v>691</v>
      </c>
      <c r="H762" s="3">
        <f>IF(Sheet1!K770, 1, 0)
</f>
        <v>0</v>
      </c>
      <c r="I762" s="1" t="s">
        <v>692</v>
      </c>
      <c r="K762" s="39" t="s">
        <v>693</v>
      </c>
      <c r="M762" s="39" t="s">
        <v>693</v>
      </c>
    </row>
    <row r="763">
      <c r="A763" s="1" t="s">
        <v>703</v>
      </c>
      <c r="C763" s="39" t="s">
        <v>691</v>
      </c>
      <c r="G763" s="39" t="s">
        <v>691</v>
      </c>
      <c r="H763" s="3">
        <f>IF(Sheet1!K771, 1, 0)
</f>
        <v>0</v>
      </c>
      <c r="I763" s="1" t="s">
        <v>692</v>
      </c>
      <c r="K763" s="39" t="s">
        <v>693</v>
      </c>
      <c r="M763" s="39" t="s">
        <v>693</v>
      </c>
    </row>
    <row r="764">
      <c r="A764" s="1" t="s">
        <v>703</v>
      </c>
      <c r="C764" s="39" t="s">
        <v>691</v>
      </c>
      <c r="G764" s="39" t="s">
        <v>691</v>
      </c>
      <c r="H764" s="3">
        <f>IF(Sheet1!K772, 1, 0)
</f>
        <v>0</v>
      </c>
      <c r="I764" s="1" t="s">
        <v>692</v>
      </c>
      <c r="K764" s="39" t="s">
        <v>693</v>
      </c>
      <c r="M764" s="39" t="s">
        <v>693</v>
      </c>
    </row>
    <row r="765">
      <c r="A765" s="1" t="s">
        <v>703</v>
      </c>
      <c r="C765" s="39" t="s">
        <v>691</v>
      </c>
      <c r="G765" s="39" t="s">
        <v>691</v>
      </c>
      <c r="H765" s="3">
        <f>IF(Sheet1!K773, 1, 0)
</f>
        <v>0</v>
      </c>
      <c r="I765" s="1" t="s">
        <v>692</v>
      </c>
      <c r="K765" s="39" t="s">
        <v>693</v>
      </c>
      <c r="M765" s="39" t="s">
        <v>693</v>
      </c>
    </row>
    <row r="766">
      <c r="A766" s="1" t="s">
        <v>703</v>
      </c>
      <c r="C766" s="39" t="s">
        <v>691</v>
      </c>
      <c r="G766" s="39" t="s">
        <v>691</v>
      </c>
      <c r="H766" s="3">
        <f>IF(Sheet1!K774, 1, 0)
</f>
        <v>0</v>
      </c>
      <c r="I766" s="1" t="s">
        <v>692</v>
      </c>
      <c r="K766" s="39" t="s">
        <v>693</v>
      </c>
      <c r="M766" s="39" t="s">
        <v>693</v>
      </c>
    </row>
    <row r="767">
      <c r="A767" s="1" t="s">
        <v>703</v>
      </c>
      <c r="C767" s="39" t="s">
        <v>691</v>
      </c>
      <c r="G767" s="39" t="s">
        <v>691</v>
      </c>
      <c r="H767" s="3">
        <f>IF(Sheet1!K775, 1, 0)
</f>
        <v>0</v>
      </c>
      <c r="I767" s="1" t="s">
        <v>692</v>
      </c>
      <c r="K767" s="39" t="s">
        <v>693</v>
      </c>
      <c r="M767" s="39" t="s">
        <v>693</v>
      </c>
    </row>
    <row r="768">
      <c r="A768" s="1" t="s">
        <v>703</v>
      </c>
      <c r="C768" s="39" t="s">
        <v>691</v>
      </c>
      <c r="G768" s="39" t="s">
        <v>691</v>
      </c>
      <c r="H768" s="3">
        <f>IF(Sheet1!K776, 1, 0)
</f>
        <v>0</v>
      </c>
      <c r="I768" s="1" t="s">
        <v>692</v>
      </c>
      <c r="K768" s="39" t="s">
        <v>693</v>
      </c>
      <c r="M768" s="39" t="s">
        <v>693</v>
      </c>
    </row>
    <row r="769">
      <c r="A769" s="1" t="s">
        <v>703</v>
      </c>
      <c r="C769" s="39" t="s">
        <v>691</v>
      </c>
      <c r="G769" s="39" t="s">
        <v>691</v>
      </c>
      <c r="H769" s="3">
        <f>IF(Sheet1!K777, 1, 0)
</f>
        <v>0</v>
      </c>
      <c r="I769" s="1" t="s">
        <v>692</v>
      </c>
      <c r="K769" s="39" t="s">
        <v>693</v>
      </c>
      <c r="M769" s="39" t="s">
        <v>693</v>
      </c>
    </row>
    <row r="770">
      <c r="A770" s="1" t="s">
        <v>703</v>
      </c>
      <c r="C770" s="39" t="s">
        <v>691</v>
      </c>
      <c r="G770" s="39" t="s">
        <v>691</v>
      </c>
      <c r="H770" s="3">
        <f>IF(Sheet1!K778, 1, 0)
</f>
        <v>0</v>
      </c>
      <c r="I770" s="1" t="s">
        <v>692</v>
      </c>
      <c r="K770" s="39" t="s">
        <v>693</v>
      </c>
      <c r="M770" s="39" t="s">
        <v>693</v>
      </c>
    </row>
    <row r="771">
      <c r="A771" s="1" t="s">
        <v>703</v>
      </c>
      <c r="C771" s="39" t="s">
        <v>691</v>
      </c>
      <c r="G771" s="39" t="s">
        <v>691</v>
      </c>
      <c r="H771" s="3">
        <f>IF(Sheet1!K779, 1, 0)
</f>
        <v>0</v>
      </c>
      <c r="I771" s="1" t="s">
        <v>692</v>
      </c>
      <c r="K771" s="39" t="s">
        <v>693</v>
      </c>
      <c r="M771" s="39" t="s">
        <v>693</v>
      </c>
    </row>
    <row r="772">
      <c r="A772" s="1" t="s">
        <v>703</v>
      </c>
      <c r="C772" s="39" t="s">
        <v>691</v>
      </c>
      <c r="G772" s="39" t="s">
        <v>691</v>
      </c>
      <c r="H772" s="3">
        <f>IF(Sheet1!K780, 1, 0)
</f>
        <v>0</v>
      </c>
      <c r="I772" s="1" t="s">
        <v>692</v>
      </c>
      <c r="K772" s="39" t="s">
        <v>693</v>
      </c>
      <c r="M772" s="39" t="s">
        <v>693</v>
      </c>
    </row>
    <row r="773">
      <c r="A773" s="1" t="s">
        <v>703</v>
      </c>
      <c r="C773" s="39" t="s">
        <v>691</v>
      </c>
      <c r="G773" s="39" t="s">
        <v>691</v>
      </c>
      <c r="H773" s="3">
        <f>IF(Sheet1!K781, 1, 0)
</f>
        <v>0</v>
      </c>
      <c r="I773" s="1" t="s">
        <v>692</v>
      </c>
      <c r="K773" s="39" t="s">
        <v>693</v>
      </c>
      <c r="M773" s="39" t="s">
        <v>693</v>
      </c>
    </row>
    <row r="774">
      <c r="A774" s="1" t="s">
        <v>703</v>
      </c>
      <c r="C774" s="39" t="s">
        <v>691</v>
      </c>
      <c r="G774" s="39" t="s">
        <v>691</v>
      </c>
      <c r="H774" s="3">
        <f>IF(Sheet1!K782, 1, 0)
</f>
        <v>0</v>
      </c>
      <c r="I774" s="1" t="s">
        <v>692</v>
      </c>
      <c r="K774" s="39" t="s">
        <v>693</v>
      </c>
      <c r="M774" s="39" t="s">
        <v>693</v>
      </c>
    </row>
    <row r="775">
      <c r="A775" s="1" t="s">
        <v>703</v>
      </c>
      <c r="C775" s="39" t="s">
        <v>691</v>
      </c>
      <c r="G775" s="39" t="s">
        <v>691</v>
      </c>
      <c r="H775" s="3">
        <f>IF(Sheet1!K783, 1, 0)
</f>
        <v>0</v>
      </c>
      <c r="I775" s="1" t="s">
        <v>692</v>
      </c>
      <c r="K775" s="39" t="s">
        <v>693</v>
      </c>
      <c r="M775" s="39" t="s">
        <v>693</v>
      </c>
    </row>
    <row r="776">
      <c r="A776" s="1" t="s">
        <v>703</v>
      </c>
      <c r="C776" s="39" t="s">
        <v>691</v>
      </c>
      <c r="G776" s="39" t="s">
        <v>691</v>
      </c>
      <c r="H776" s="3">
        <f>IF(Sheet1!K784, 1, 0)
</f>
        <v>0</v>
      </c>
      <c r="I776" s="1" t="s">
        <v>692</v>
      </c>
      <c r="K776" s="39" t="s">
        <v>693</v>
      </c>
      <c r="M776" s="39" t="s">
        <v>693</v>
      </c>
    </row>
    <row r="777">
      <c r="A777" s="1" t="s">
        <v>703</v>
      </c>
      <c r="C777" s="39" t="s">
        <v>691</v>
      </c>
      <c r="G777" s="39" t="s">
        <v>691</v>
      </c>
      <c r="H777" s="3">
        <f>IF(Sheet1!K785, 1, 0)
</f>
        <v>0</v>
      </c>
      <c r="I777" s="1" t="s">
        <v>692</v>
      </c>
      <c r="K777" s="39" t="s">
        <v>693</v>
      </c>
      <c r="M777" s="39" t="s">
        <v>693</v>
      </c>
    </row>
    <row r="778">
      <c r="A778" s="1" t="s">
        <v>703</v>
      </c>
      <c r="C778" s="39" t="s">
        <v>691</v>
      </c>
      <c r="G778" s="39" t="s">
        <v>691</v>
      </c>
      <c r="H778" s="3">
        <f>IF(Sheet1!K786, 1, 0)
</f>
        <v>0</v>
      </c>
      <c r="I778" s="1" t="s">
        <v>692</v>
      </c>
      <c r="K778" s="39" t="s">
        <v>693</v>
      </c>
      <c r="M778" s="39" t="s">
        <v>693</v>
      </c>
    </row>
    <row r="779">
      <c r="A779" s="1" t="s">
        <v>703</v>
      </c>
      <c r="C779" s="39" t="s">
        <v>691</v>
      </c>
      <c r="G779" s="39" t="s">
        <v>691</v>
      </c>
      <c r="H779" s="3">
        <f>IF(Sheet1!K787, 1, 0)
</f>
        <v>0</v>
      </c>
      <c r="I779" s="1" t="s">
        <v>692</v>
      </c>
      <c r="K779" s="39" t="s">
        <v>693</v>
      </c>
      <c r="M779" s="39" t="s">
        <v>693</v>
      </c>
    </row>
    <row r="780">
      <c r="A780" s="1" t="s">
        <v>703</v>
      </c>
      <c r="C780" s="39" t="s">
        <v>691</v>
      </c>
      <c r="G780" s="39" t="s">
        <v>691</v>
      </c>
      <c r="H780" s="3">
        <f>IF(Sheet1!K788, 1, 0)
</f>
        <v>0</v>
      </c>
      <c r="I780" s="1" t="s">
        <v>692</v>
      </c>
      <c r="K780" s="39" t="s">
        <v>693</v>
      </c>
      <c r="M780" s="39" t="s">
        <v>693</v>
      </c>
    </row>
    <row r="781">
      <c r="A781" s="1" t="s">
        <v>703</v>
      </c>
      <c r="C781" s="39" t="s">
        <v>691</v>
      </c>
      <c r="G781" s="39" t="s">
        <v>691</v>
      </c>
      <c r="H781" s="3">
        <f>IF(Sheet1!K789, 1, 0)
</f>
        <v>0</v>
      </c>
      <c r="I781" s="1" t="s">
        <v>692</v>
      </c>
      <c r="K781" s="39" t="s">
        <v>693</v>
      </c>
      <c r="M781" s="39" t="s">
        <v>693</v>
      </c>
    </row>
    <row r="782">
      <c r="A782" s="1" t="s">
        <v>703</v>
      </c>
      <c r="C782" s="39" t="s">
        <v>691</v>
      </c>
      <c r="G782" s="39" t="s">
        <v>691</v>
      </c>
      <c r="H782" s="3">
        <f>IF(Sheet1!K790, 1, 0)
</f>
        <v>0</v>
      </c>
      <c r="I782" s="1" t="s">
        <v>692</v>
      </c>
      <c r="K782" s="39" t="s">
        <v>693</v>
      </c>
      <c r="M782" s="39" t="s">
        <v>693</v>
      </c>
    </row>
    <row r="783">
      <c r="A783" s="1" t="s">
        <v>703</v>
      </c>
      <c r="C783" s="39" t="s">
        <v>691</v>
      </c>
      <c r="G783" s="39" t="s">
        <v>691</v>
      </c>
      <c r="H783" s="3">
        <f>IF(Sheet1!K791, 1, 0)
</f>
        <v>0</v>
      </c>
      <c r="I783" s="1" t="s">
        <v>692</v>
      </c>
      <c r="K783" s="39" t="s">
        <v>693</v>
      </c>
      <c r="M783" s="39" t="s">
        <v>693</v>
      </c>
    </row>
    <row r="784">
      <c r="A784" s="1" t="s">
        <v>703</v>
      </c>
      <c r="C784" s="39" t="s">
        <v>691</v>
      </c>
      <c r="G784" s="39" t="s">
        <v>691</v>
      </c>
      <c r="H784" s="3">
        <f>IF(Sheet1!K792, 1, 0)
</f>
        <v>0</v>
      </c>
      <c r="I784" s="1" t="s">
        <v>692</v>
      </c>
      <c r="K784" s="39" t="s">
        <v>693</v>
      </c>
      <c r="M784" s="39" t="s">
        <v>693</v>
      </c>
    </row>
    <row r="785">
      <c r="A785" s="1" t="s">
        <v>703</v>
      </c>
      <c r="C785" s="39" t="s">
        <v>691</v>
      </c>
      <c r="G785" s="39" t="s">
        <v>691</v>
      </c>
      <c r="H785" s="3">
        <f>IF(Sheet1!K793, 1, 0)
</f>
        <v>0</v>
      </c>
      <c r="I785" s="1" t="s">
        <v>692</v>
      </c>
      <c r="K785" s="39" t="s">
        <v>693</v>
      </c>
      <c r="M785" s="39" t="s">
        <v>693</v>
      </c>
    </row>
    <row r="786">
      <c r="A786" s="1" t="s">
        <v>703</v>
      </c>
      <c r="C786" s="39" t="s">
        <v>691</v>
      </c>
      <c r="G786" s="39" t="s">
        <v>691</v>
      </c>
      <c r="H786" s="3">
        <f>IF(Sheet1!K794, 1, 0)
</f>
        <v>0</v>
      </c>
      <c r="I786" s="1" t="s">
        <v>692</v>
      </c>
      <c r="K786" s="39" t="s">
        <v>693</v>
      </c>
      <c r="M786" s="39" t="s">
        <v>693</v>
      </c>
    </row>
    <row r="787">
      <c r="A787" s="1" t="s">
        <v>703</v>
      </c>
      <c r="C787" s="39" t="s">
        <v>691</v>
      </c>
      <c r="G787" s="39" t="s">
        <v>691</v>
      </c>
      <c r="H787" s="3">
        <f>IF(Sheet1!K795, 1, 0)
</f>
        <v>0</v>
      </c>
      <c r="I787" s="1" t="s">
        <v>692</v>
      </c>
      <c r="K787" s="39" t="s">
        <v>693</v>
      </c>
      <c r="M787" s="39" t="s">
        <v>693</v>
      </c>
    </row>
    <row r="788">
      <c r="A788" s="1" t="s">
        <v>703</v>
      </c>
      <c r="C788" s="39" t="s">
        <v>691</v>
      </c>
      <c r="G788" s="39" t="s">
        <v>691</v>
      </c>
      <c r="H788" s="3">
        <f>IF(Sheet1!K796, 1, 0)
</f>
        <v>0</v>
      </c>
      <c r="I788" s="1" t="s">
        <v>692</v>
      </c>
      <c r="K788" s="39" t="s">
        <v>693</v>
      </c>
      <c r="M788" s="39" t="s">
        <v>693</v>
      </c>
    </row>
    <row r="789">
      <c r="A789" s="1" t="s">
        <v>703</v>
      </c>
      <c r="C789" s="39" t="s">
        <v>691</v>
      </c>
      <c r="G789" s="39" t="s">
        <v>691</v>
      </c>
      <c r="H789" s="3">
        <f>IF(Sheet1!K797, 1, 0)
</f>
        <v>0</v>
      </c>
      <c r="I789" s="1" t="s">
        <v>692</v>
      </c>
      <c r="K789" s="39" t="s">
        <v>693</v>
      </c>
      <c r="M789" s="39" t="s">
        <v>693</v>
      </c>
    </row>
    <row r="790">
      <c r="A790" s="1" t="s">
        <v>703</v>
      </c>
      <c r="C790" s="39" t="s">
        <v>691</v>
      </c>
      <c r="G790" s="39" t="s">
        <v>691</v>
      </c>
      <c r="H790" s="3">
        <f>IF(Sheet1!K798, 1, 0)
</f>
        <v>0</v>
      </c>
      <c r="I790" s="1" t="s">
        <v>692</v>
      </c>
      <c r="K790" s="39" t="s">
        <v>693</v>
      </c>
      <c r="M790" s="39" t="s">
        <v>693</v>
      </c>
    </row>
    <row r="791">
      <c r="A791" s="1" t="s">
        <v>703</v>
      </c>
      <c r="C791" s="39" t="s">
        <v>691</v>
      </c>
      <c r="G791" s="39" t="s">
        <v>691</v>
      </c>
      <c r="H791" s="3">
        <f>IF(Sheet1!K799, 1, 0)
</f>
        <v>0</v>
      </c>
      <c r="I791" s="1" t="s">
        <v>692</v>
      </c>
      <c r="K791" s="39" t="s">
        <v>693</v>
      </c>
      <c r="M791" s="39" t="s">
        <v>693</v>
      </c>
    </row>
    <row r="792">
      <c r="A792" s="1" t="s">
        <v>703</v>
      </c>
      <c r="C792" s="39" t="s">
        <v>691</v>
      </c>
      <c r="G792" s="39" t="s">
        <v>691</v>
      </c>
      <c r="H792" s="3">
        <f>IF(Sheet1!K800, 1, 0)
</f>
        <v>0</v>
      </c>
      <c r="I792" s="1" t="s">
        <v>692</v>
      </c>
      <c r="K792" s="39" t="s">
        <v>693</v>
      </c>
      <c r="M792" s="39" t="s">
        <v>693</v>
      </c>
    </row>
    <row r="793">
      <c r="A793" s="1" t="s">
        <v>703</v>
      </c>
      <c r="C793" s="39" t="s">
        <v>691</v>
      </c>
      <c r="G793" s="39" t="s">
        <v>691</v>
      </c>
      <c r="H793" s="3">
        <f>IF(Sheet1!K801, 1, 0)
</f>
        <v>0</v>
      </c>
      <c r="I793" s="1" t="s">
        <v>692</v>
      </c>
      <c r="K793" s="39" t="s">
        <v>693</v>
      </c>
      <c r="M793" s="39" t="s">
        <v>693</v>
      </c>
    </row>
    <row r="794">
      <c r="A794" s="1" t="s">
        <v>703</v>
      </c>
      <c r="C794" s="39" t="s">
        <v>691</v>
      </c>
      <c r="G794" s="39" t="s">
        <v>691</v>
      </c>
      <c r="H794" s="3">
        <f>IF(Sheet1!K802, 1, 0)
</f>
        <v>0</v>
      </c>
      <c r="I794" s="1" t="s">
        <v>692</v>
      </c>
      <c r="K794" s="39" t="s">
        <v>693</v>
      </c>
      <c r="M794" s="39" t="s">
        <v>693</v>
      </c>
    </row>
    <row r="795">
      <c r="A795" s="1" t="s">
        <v>703</v>
      </c>
      <c r="C795" s="39" t="s">
        <v>691</v>
      </c>
      <c r="G795" s="39" t="s">
        <v>691</v>
      </c>
      <c r="H795" s="3">
        <f>IF(Sheet1!K803, 1, 0)
</f>
        <v>0</v>
      </c>
      <c r="I795" s="1" t="s">
        <v>692</v>
      </c>
      <c r="K795" s="39" t="s">
        <v>693</v>
      </c>
      <c r="M795" s="39" t="s">
        <v>693</v>
      </c>
    </row>
    <row r="796">
      <c r="A796" s="1" t="s">
        <v>703</v>
      </c>
      <c r="C796" s="39" t="s">
        <v>691</v>
      </c>
      <c r="G796" s="39" t="s">
        <v>691</v>
      </c>
      <c r="H796" s="3">
        <f>IF(Sheet1!K804, 1, 0)
</f>
        <v>0</v>
      </c>
      <c r="I796" s="1" t="s">
        <v>692</v>
      </c>
      <c r="K796" s="39" t="s">
        <v>693</v>
      </c>
      <c r="M796" s="39" t="s">
        <v>693</v>
      </c>
    </row>
    <row r="797">
      <c r="A797" s="1" t="s">
        <v>703</v>
      </c>
      <c r="C797" s="39" t="s">
        <v>691</v>
      </c>
      <c r="G797" s="39" t="s">
        <v>691</v>
      </c>
      <c r="H797" s="3">
        <f>IF(Sheet1!K805, 1, 0)
</f>
        <v>0</v>
      </c>
      <c r="I797" s="1" t="s">
        <v>692</v>
      </c>
      <c r="K797" s="39" t="s">
        <v>693</v>
      </c>
      <c r="M797" s="39" t="s">
        <v>693</v>
      </c>
    </row>
    <row r="798">
      <c r="A798" s="1" t="s">
        <v>703</v>
      </c>
      <c r="C798" s="39" t="s">
        <v>691</v>
      </c>
      <c r="G798" s="39" t="s">
        <v>691</v>
      </c>
      <c r="H798" s="3">
        <f>IF(Sheet1!K806, 1, 0)
</f>
        <v>0</v>
      </c>
      <c r="I798" s="1" t="s">
        <v>692</v>
      </c>
      <c r="K798" s="39" t="s">
        <v>693</v>
      </c>
      <c r="M798" s="39" t="s">
        <v>693</v>
      </c>
    </row>
    <row r="799">
      <c r="A799" s="1" t="s">
        <v>703</v>
      </c>
      <c r="C799" s="39" t="s">
        <v>691</v>
      </c>
      <c r="G799" s="39" t="s">
        <v>691</v>
      </c>
      <c r="H799" s="3">
        <f>IF(Sheet1!K807, 1, 0)
</f>
        <v>0</v>
      </c>
      <c r="I799" s="1" t="s">
        <v>692</v>
      </c>
      <c r="K799" s="39" t="s">
        <v>693</v>
      </c>
      <c r="M799" s="39" t="s">
        <v>693</v>
      </c>
    </row>
    <row r="800">
      <c r="A800" s="1" t="s">
        <v>703</v>
      </c>
      <c r="C800" s="39" t="s">
        <v>691</v>
      </c>
      <c r="G800" s="39" t="s">
        <v>691</v>
      </c>
      <c r="H800" s="3">
        <f>IF(Sheet1!K808, 1, 0)
</f>
        <v>0</v>
      </c>
      <c r="I800" s="1" t="s">
        <v>692</v>
      </c>
      <c r="K800" s="39" t="s">
        <v>693</v>
      </c>
      <c r="M800" s="39" t="s">
        <v>693</v>
      </c>
    </row>
    <row r="801">
      <c r="A801" s="1" t="s">
        <v>703</v>
      </c>
      <c r="C801" s="39" t="s">
        <v>691</v>
      </c>
      <c r="G801" s="39" t="s">
        <v>691</v>
      </c>
      <c r="H801" s="3">
        <f>IF(Sheet1!K809, 1, 0)
</f>
        <v>0</v>
      </c>
      <c r="I801" s="1" t="s">
        <v>692</v>
      </c>
      <c r="K801" s="39" t="s">
        <v>693</v>
      </c>
      <c r="M801" s="39" t="s">
        <v>693</v>
      </c>
    </row>
    <row r="802">
      <c r="A802" s="1" t="s">
        <v>703</v>
      </c>
      <c r="C802" s="39" t="s">
        <v>691</v>
      </c>
      <c r="G802" s="39" t="s">
        <v>691</v>
      </c>
      <c r="H802" s="3">
        <f>IF(Sheet1!K810, 1, 0)
</f>
        <v>0</v>
      </c>
      <c r="I802" s="1" t="s">
        <v>692</v>
      </c>
      <c r="K802" s="39" t="s">
        <v>693</v>
      </c>
      <c r="M802" s="39" t="s">
        <v>693</v>
      </c>
    </row>
    <row r="803">
      <c r="A803" s="1" t="s">
        <v>703</v>
      </c>
      <c r="C803" s="39" t="s">
        <v>691</v>
      </c>
      <c r="G803" s="39" t="s">
        <v>691</v>
      </c>
      <c r="H803" s="3">
        <f>IF(Sheet1!K811, 1, 0)
</f>
        <v>0</v>
      </c>
      <c r="I803" s="1" t="s">
        <v>692</v>
      </c>
      <c r="K803" s="39" t="s">
        <v>693</v>
      </c>
      <c r="M803" s="39" t="s">
        <v>693</v>
      </c>
    </row>
    <row r="804">
      <c r="A804" s="1" t="s">
        <v>703</v>
      </c>
      <c r="C804" s="39" t="s">
        <v>691</v>
      </c>
      <c r="G804" s="39" t="s">
        <v>691</v>
      </c>
      <c r="H804" s="3">
        <f>IF(Sheet1!K812, 1, 0)
</f>
        <v>0</v>
      </c>
      <c r="I804" s="1" t="s">
        <v>692</v>
      </c>
      <c r="K804" s="39" t="s">
        <v>693</v>
      </c>
      <c r="M804" s="39" t="s">
        <v>693</v>
      </c>
    </row>
    <row r="805">
      <c r="A805" s="1" t="s">
        <v>703</v>
      </c>
      <c r="C805" s="39" t="s">
        <v>691</v>
      </c>
      <c r="G805" s="39" t="s">
        <v>691</v>
      </c>
      <c r="H805" s="3">
        <f>IF(Sheet1!K813, 1, 0)
</f>
        <v>0</v>
      </c>
      <c r="I805" s="1" t="s">
        <v>692</v>
      </c>
      <c r="K805" s="39" t="s">
        <v>693</v>
      </c>
      <c r="M805" s="39" t="s">
        <v>693</v>
      </c>
    </row>
    <row r="806">
      <c r="A806" s="1" t="s">
        <v>703</v>
      </c>
      <c r="C806" s="39" t="s">
        <v>691</v>
      </c>
      <c r="G806" s="39" t="s">
        <v>691</v>
      </c>
      <c r="H806" s="3">
        <f>IF(Sheet1!K814, 1, 0)
</f>
        <v>0</v>
      </c>
      <c r="I806" s="1" t="s">
        <v>692</v>
      </c>
      <c r="K806" s="39" t="s">
        <v>693</v>
      </c>
      <c r="M806" s="39" t="s">
        <v>693</v>
      </c>
    </row>
    <row r="807">
      <c r="A807" s="1" t="s">
        <v>703</v>
      </c>
      <c r="C807" s="39" t="s">
        <v>691</v>
      </c>
      <c r="G807" s="39" t="s">
        <v>691</v>
      </c>
      <c r="H807" s="3">
        <f>IF(Sheet1!K815, 1, 0)
</f>
        <v>0</v>
      </c>
      <c r="I807" s="1" t="s">
        <v>692</v>
      </c>
      <c r="K807" s="39" t="s">
        <v>693</v>
      </c>
      <c r="M807" s="39" t="s">
        <v>693</v>
      </c>
    </row>
    <row r="808">
      <c r="A808" s="1" t="s">
        <v>703</v>
      </c>
      <c r="C808" s="39" t="s">
        <v>691</v>
      </c>
      <c r="G808" s="39" t="s">
        <v>691</v>
      </c>
      <c r="H808" s="3">
        <f>IF(Sheet1!K816, 1, 0)
</f>
        <v>0</v>
      </c>
      <c r="I808" s="1" t="s">
        <v>692</v>
      </c>
      <c r="K808" s="39" t="s">
        <v>693</v>
      </c>
      <c r="M808" s="39" t="s">
        <v>693</v>
      </c>
    </row>
    <row r="809">
      <c r="A809" s="1" t="s">
        <v>703</v>
      </c>
      <c r="C809" s="39" t="s">
        <v>691</v>
      </c>
      <c r="G809" s="39" t="s">
        <v>691</v>
      </c>
      <c r="H809" s="3">
        <f>IF(Sheet1!K817, 1, 0)
</f>
        <v>0</v>
      </c>
      <c r="I809" s="1" t="s">
        <v>692</v>
      </c>
      <c r="K809" s="39" t="s">
        <v>693</v>
      </c>
      <c r="M809" s="39" t="s">
        <v>693</v>
      </c>
    </row>
    <row r="810">
      <c r="A810" s="1" t="s">
        <v>703</v>
      </c>
      <c r="C810" s="39" t="s">
        <v>691</v>
      </c>
      <c r="G810" s="39" t="s">
        <v>691</v>
      </c>
      <c r="H810" s="3">
        <f>IF(Sheet1!K818, 1, 0)
</f>
        <v>0</v>
      </c>
      <c r="I810" s="1" t="s">
        <v>692</v>
      </c>
      <c r="K810" s="39" t="s">
        <v>693</v>
      </c>
      <c r="M810" s="39" t="s">
        <v>693</v>
      </c>
    </row>
    <row r="811">
      <c r="A811" s="1" t="s">
        <v>703</v>
      </c>
      <c r="C811" s="39" t="s">
        <v>691</v>
      </c>
      <c r="G811" s="39" t="s">
        <v>691</v>
      </c>
      <c r="H811" s="3">
        <f>IF(Sheet1!K819, 1, 0)
</f>
        <v>0</v>
      </c>
      <c r="I811" s="1" t="s">
        <v>692</v>
      </c>
      <c r="K811" s="39" t="s">
        <v>693</v>
      </c>
      <c r="M811" s="39" t="s">
        <v>693</v>
      </c>
    </row>
    <row r="812">
      <c r="A812" s="1" t="s">
        <v>703</v>
      </c>
      <c r="C812" s="39" t="s">
        <v>691</v>
      </c>
      <c r="G812" s="39" t="s">
        <v>691</v>
      </c>
      <c r="H812" s="3">
        <f>IF(Sheet1!K820, 1, 0)
</f>
        <v>0</v>
      </c>
      <c r="I812" s="1" t="s">
        <v>692</v>
      </c>
      <c r="K812" s="39" t="s">
        <v>693</v>
      </c>
      <c r="M812" s="39" t="s">
        <v>693</v>
      </c>
    </row>
    <row r="813">
      <c r="A813" s="1" t="s">
        <v>703</v>
      </c>
      <c r="C813" s="39" t="s">
        <v>691</v>
      </c>
      <c r="G813" s="39" t="s">
        <v>691</v>
      </c>
      <c r="H813" s="3">
        <f>IF(Sheet1!K821, 1, 0)
</f>
        <v>0</v>
      </c>
      <c r="I813" s="1" t="s">
        <v>692</v>
      </c>
      <c r="K813" s="39" t="s">
        <v>693</v>
      </c>
      <c r="M813" s="39" t="s">
        <v>693</v>
      </c>
    </row>
    <row r="814">
      <c r="A814" s="1" t="s">
        <v>703</v>
      </c>
      <c r="C814" s="39" t="s">
        <v>691</v>
      </c>
      <c r="G814" s="39" t="s">
        <v>691</v>
      </c>
      <c r="H814" s="3">
        <f>IF(Sheet1!K822, 1, 0)
</f>
        <v>0</v>
      </c>
      <c r="I814" s="1" t="s">
        <v>692</v>
      </c>
      <c r="K814" s="39" t="s">
        <v>693</v>
      </c>
      <c r="M814" s="39" t="s">
        <v>693</v>
      </c>
    </row>
    <row r="815">
      <c r="A815" s="1" t="s">
        <v>703</v>
      </c>
      <c r="C815" s="39" t="s">
        <v>691</v>
      </c>
      <c r="G815" s="39" t="s">
        <v>691</v>
      </c>
      <c r="H815" s="3">
        <f>IF(Sheet1!K823, 1, 0)
</f>
        <v>0</v>
      </c>
      <c r="I815" s="1" t="s">
        <v>692</v>
      </c>
      <c r="K815" s="39" t="s">
        <v>693</v>
      </c>
      <c r="M815" s="39" t="s">
        <v>693</v>
      </c>
    </row>
    <row r="816">
      <c r="A816" s="1" t="s">
        <v>703</v>
      </c>
      <c r="C816" s="39" t="s">
        <v>691</v>
      </c>
      <c r="G816" s="39" t="s">
        <v>691</v>
      </c>
      <c r="H816" s="3">
        <f>IF(Sheet1!K824, 1, 0)
</f>
        <v>0</v>
      </c>
      <c r="I816" s="1" t="s">
        <v>692</v>
      </c>
      <c r="K816" s="39" t="s">
        <v>693</v>
      </c>
      <c r="M816" s="39" t="s">
        <v>693</v>
      </c>
    </row>
    <row r="817">
      <c r="A817" s="1" t="s">
        <v>703</v>
      </c>
      <c r="C817" s="39" t="s">
        <v>691</v>
      </c>
      <c r="G817" s="39" t="s">
        <v>691</v>
      </c>
      <c r="H817" s="3">
        <f>IF(Sheet1!K825, 1, 0)
</f>
        <v>0</v>
      </c>
      <c r="I817" s="1" t="s">
        <v>692</v>
      </c>
      <c r="K817" s="39" t="s">
        <v>693</v>
      </c>
      <c r="M817" s="39" t="s">
        <v>693</v>
      </c>
    </row>
    <row r="818">
      <c r="A818" s="1" t="s">
        <v>703</v>
      </c>
      <c r="C818" s="39" t="s">
        <v>691</v>
      </c>
      <c r="G818" s="39" t="s">
        <v>691</v>
      </c>
      <c r="H818" s="3">
        <f>IF(Sheet1!K826, 1, 0)
</f>
        <v>0</v>
      </c>
      <c r="I818" s="1" t="s">
        <v>692</v>
      </c>
      <c r="K818" s="39" t="s">
        <v>693</v>
      </c>
      <c r="M818" s="39" t="s">
        <v>693</v>
      </c>
    </row>
    <row r="819">
      <c r="A819" s="1" t="s">
        <v>703</v>
      </c>
      <c r="C819" s="39" t="s">
        <v>691</v>
      </c>
      <c r="G819" s="39" t="s">
        <v>691</v>
      </c>
      <c r="H819" s="3">
        <f>IF(Sheet1!K827, 1, 0)
</f>
        <v>0</v>
      </c>
      <c r="I819" s="1" t="s">
        <v>692</v>
      </c>
      <c r="K819" s="39" t="s">
        <v>693</v>
      </c>
      <c r="M819" s="39" t="s">
        <v>693</v>
      </c>
    </row>
    <row r="820">
      <c r="A820" s="1" t="s">
        <v>703</v>
      </c>
      <c r="C820" s="39" t="s">
        <v>691</v>
      </c>
      <c r="G820" s="39" t="s">
        <v>691</v>
      </c>
      <c r="H820" s="3">
        <f>IF(Sheet1!K828, 1, 0)
</f>
        <v>0</v>
      </c>
      <c r="I820" s="1" t="s">
        <v>692</v>
      </c>
      <c r="K820" s="39" t="s">
        <v>693</v>
      </c>
      <c r="M820" s="39" t="s">
        <v>693</v>
      </c>
    </row>
    <row r="821">
      <c r="A821" s="1" t="s">
        <v>703</v>
      </c>
      <c r="C821" s="39" t="s">
        <v>691</v>
      </c>
      <c r="G821" s="39" t="s">
        <v>691</v>
      </c>
      <c r="H821" s="3">
        <f>IF(Sheet1!K829, 1, 0)
</f>
        <v>0</v>
      </c>
      <c r="I821" s="1" t="s">
        <v>692</v>
      </c>
      <c r="K821" s="39" t="s">
        <v>693</v>
      </c>
      <c r="M821" s="39" t="s">
        <v>693</v>
      </c>
    </row>
    <row r="822">
      <c r="A822" s="1" t="s">
        <v>703</v>
      </c>
      <c r="C822" s="39" t="s">
        <v>691</v>
      </c>
      <c r="G822" s="39" t="s">
        <v>691</v>
      </c>
      <c r="H822" s="3">
        <f>IF(Sheet1!K830, 1, 0)
</f>
        <v>0</v>
      </c>
      <c r="I822" s="1" t="s">
        <v>692</v>
      </c>
      <c r="K822" s="39" t="s">
        <v>693</v>
      </c>
      <c r="M822" s="39" t="s">
        <v>693</v>
      </c>
    </row>
    <row r="823">
      <c r="A823" s="1" t="s">
        <v>703</v>
      </c>
      <c r="C823" s="39" t="s">
        <v>691</v>
      </c>
      <c r="G823" s="39" t="s">
        <v>691</v>
      </c>
      <c r="H823" s="3">
        <f>IF(Sheet1!K831, 1, 0)
</f>
        <v>0</v>
      </c>
      <c r="I823" s="1" t="s">
        <v>692</v>
      </c>
      <c r="K823" s="39" t="s">
        <v>693</v>
      </c>
      <c r="M823" s="39" t="s">
        <v>693</v>
      </c>
    </row>
    <row r="824">
      <c r="A824" s="1" t="s">
        <v>703</v>
      </c>
      <c r="C824" s="39" t="s">
        <v>691</v>
      </c>
      <c r="G824" s="39" t="s">
        <v>691</v>
      </c>
      <c r="H824" s="3">
        <f>IF(Sheet1!K832, 1, 0)
</f>
        <v>0</v>
      </c>
      <c r="I824" s="1" t="s">
        <v>692</v>
      </c>
      <c r="K824" s="39" t="s">
        <v>693</v>
      </c>
      <c r="M824" s="39" t="s">
        <v>693</v>
      </c>
    </row>
    <row r="825">
      <c r="A825" s="1" t="s">
        <v>703</v>
      </c>
      <c r="C825" s="39" t="s">
        <v>691</v>
      </c>
      <c r="G825" s="39" t="s">
        <v>691</v>
      </c>
      <c r="H825" s="3">
        <f>IF(Sheet1!K833, 1, 0)
</f>
        <v>0</v>
      </c>
      <c r="I825" s="1" t="s">
        <v>692</v>
      </c>
      <c r="K825" s="39" t="s">
        <v>693</v>
      </c>
      <c r="M825" s="39" t="s">
        <v>693</v>
      </c>
    </row>
    <row r="826">
      <c r="A826" s="1" t="s">
        <v>703</v>
      </c>
      <c r="C826" s="39" t="s">
        <v>691</v>
      </c>
      <c r="G826" s="39" t="s">
        <v>691</v>
      </c>
      <c r="H826" s="3">
        <f>IF(Sheet1!K834, 1, 0)
</f>
        <v>0</v>
      </c>
      <c r="I826" s="1" t="s">
        <v>692</v>
      </c>
      <c r="K826" s="39" t="s">
        <v>693</v>
      </c>
      <c r="M826" s="39" t="s">
        <v>693</v>
      </c>
    </row>
    <row r="827">
      <c r="A827" s="1" t="s">
        <v>703</v>
      </c>
      <c r="C827" s="39" t="s">
        <v>691</v>
      </c>
      <c r="G827" s="39" t="s">
        <v>691</v>
      </c>
      <c r="H827" s="3">
        <f>IF(Sheet1!K835, 1, 0)
</f>
        <v>0</v>
      </c>
      <c r="I827" s="1" t="s">
        <v>692</v>
      </c>
      <c r="K827" s="39" t="s">
        <v>693</v>
      </c>
      <c r="M827" s="39" t="s">
        <v>693</v>
      </c>
    </row>
    <row r="828">
      <c r="A828" s="1" t="s">
        <v>703</v>
      </c>
      <c r="C828" s="39" t="s">
        <v>691</v>
      </c>
      <c r="G828" s="39" t="s">
        <v>691</v>
      </c>
      <c r="H828" s="3">
        <f>IF(Sheet1!K836, 1, 0)
</f>
        <v>0</v>
      </c>
      <c r="I828" s="1" t="s">
        <v>692</v>
      </c>
      <c r="K828" s="39" t="s">
        <v>693</v>
      </c>
      <c r="M828" s="39" t="s">
        <v>693</v>
      </c>
    </row>
    <row r="829">
      <c r="A829" s="1" t="s">
        <v>703</v>
      </c>
      <c r="C829" s="39" t="s">
        <v>691</v>
      </c>
      <c r="G829" s="39" t="s">
        <v>691</v>
      </c>
      <c r="H829" s="3">
        <f>IF(Sheet1!K837, 1, 0)
</f>
        <v>0</v>
      </c>
      <c r="I829" s="1" t="s">
        <v>692</v>
      </c>
      <c r="K829" s="39" t="s">
        <v>693</v>
      </c>
      <c r="M829" s="39" t="s">
        <v>693</v>
      </c>
    </row>
    <row r="830">
      <c r="A830" s="1" t="s">
        <v>703</v>
      </c>
      <c r="C830" s="39" t="s">
        <v>691</v>
      </c>
      <c r="G830" s="39" t="s">
        <v>691</v>
      </c>
      <c r="H830" s="3">
        <f>IF(Sheet1!K838, 1, 0)
</f>
        <v>0</v>
      </c>
      <c r="I830" s="1" t="s">
        <v>692</v>
      </c>
      <c r="K830" s="39" t="s">
        <v>693</v>
      </c>
      <c r="M830" s="39" t="s">
        <v>693</v>
      </c>
    </row>
    <row r="831">
      <c r="A831" s="1" t="s">
        <v>703</v>
      </c>
      <c r="C831" s="39" t="s">
        <v>691</v>
      </c>
      <c r="G831" s="39" t="s">
        <v>691</v>
      </c>
      <c r="H831" s="3">
        <f>IF(Sheet1!K839, 1, 0)
</f>
        <v>0</v>
      </c>
      <c r="I831" s="1" t="s">
        <v>692</v>
      </c>
      <c r="K831" s="39" t="s">
        <v>693</v>
      </c>
      <c r="M831" s="39" t="s">
        <v>693</v>
      </c>
    </row>
    <row r="832">
      <c r="A832" s="1" t="s">
        <v>703</v>
      </c>
      <c r="C832" s="39" t="s">
        <v>691</v>
      </c>
      <c r="G832" s="39" t="s">
        <v>691</v>
      </c>
      <c r="H832" s="3">
        <f>IF(Sheet1!K840, 1, 0)
</f>
        <v>0</v>
      </c>
      <c r="I832" s="1" t="s">
        <v>692</v>
      </c>
      <c r="K832" s="39" t="s">
        <v>693</v>
      </c>
      <c r="M832" s="39" t="s">
        <v>693</v>
      </c>
    </row>
    <row r="833">
      <c r="A833" s="1" t="s">
        <v>703</v>
      </c>
      <c r="C833" s="39" t="s">
        <v>691</v>
      </c>
      <c r="G833" s="39" t="s">
        <v>691</v>
      </c>
      <c r="H833" s="3">
        <f>IF(Sheet1!K841, 1, 0)
</f>
        <v>0</v>
      </c>
      <c r="I833" s="1" t="s">
        <v>692</v>
      </c>
      <c r="K833" s="39" t="s">
        <v>693</v>
      </c>
      <c r="M833" s="39" t="s">
        <v>693</v>
      </c>
    </row>
    <row r="834">
      <c r="A834" s="1" t="s">
        <v>703</v>
      </c>
      <c r="C834" s="39" t="s">
        <v>691</v>
      </c>
      <c r="G834" s="39" t="s">
        <v>691</v>
      </c>
      <c r="H834" s="3">
        <f>IF(Sheet1!K842, 1, 0)
</f>
        <v>0</v>
      </c>
      <c r="I834" s="1" t="s">
        <v>692</v>
      </c>
      <c r="K834" s="39" t="s">
        <v>693</v>
      </c>
      <c r="M834" s="39" t="s">
        <v>693</v>
      </c>
    </row>
    <row r="835">
      <c r="A835" s="1" t="s">
        <v>703</v>
      </c>
      <c r="C835" s="39" t="s">
        <v>691</v>
      </c>
      <c r="G835" s="39" t="s">
        <v>691</v>
      </c>
      <c r="H835" s="3">
        <f>IF(Sheet1!K843, 1, 0)
</f>
        <v>0</v>
      </c>
      <c r="I835" s="1" t="s">
        <v>692</v>
      </c>
      <c r="K835" s="39" t="s">
        <v>693</v>
      </c>
      <c r="M835" s="39" t="s">
        <v>693</v>
      </c>
    </row>
    <row r="836">
      <c r="A836" s="1" t="s">
        <v>703</v>
      </c>
      <c r="C836" s="39" t="s">
        <v>691</v>
      </c>
      <c r="G836" s="39" t="s">
        <v>691</v>
      </c>
      <c r="H836" s="3">
        <f>IF(Sheet1!K844, 1, 0)
</f>
        <v>0</v>
      </c>
      <c r="I836" s="1" t="s">
        <v>692</v>
      </c>
      <c r="K836" s="39" t="s">
        <v>693</v>
      </c>
      <c r="M836" s="39" t="s">
        <v>693</v>
      </c>
    </row>
    <row r="837">
      <c r="A837" s="1" t="s">
        <v>703</v>
      </c>
      <c r="C837" s="39" t="s">
        <v>691</v>
      </c>
      <c r="G837" s="39" t="s">
        <v>691</v>
      </c>
      <c r="H837" s="3">
        <f>IF(Sheet1!K845, 1, 0)
</f>
        <v>0</v>
      </c>
      <c r="I837" s="1" t="s">
        <v>692</v>
      </c>
      <c r="K837" s="39" t="s">
        <v>693</v>
      </c>
      <c r="M837" s="39" t="s">
        <v>693</v>
      </c>
    </row>
    <row r="838">
      <c r="A838" s="1" t="s">
        <v>703</v>
      </c>
      <c r="C838" s="39" t="s">
        <v>691</v>
      </c>
      <c r="G838" s="39" t="s">
        <v>691</v>
      </c>
      <c r="H838" s="3">
        <f>IF(Sheet1!K846, 1, 0)
</f>
        <v>0</v>
      </c>
      <c r="I838" s="1" t="s">
        <v>692</v>
      </c>
      <c r="K838" s="39" t="s">
        <v>693</v>
      </c>
      <c r="M838" s="39" t="s">
        <v>693</v>
      </c>
    </row>
    <row r="839">
      <c r="A839" s="1" t="s">
        <v>703</v>
      </c>
      <c r="C839" s="39" t="s">
        <v>691</v>
      </c>
      <c r="G839" s="39" t="s">
        <v>691</v>
      </c>
      <c r="H839" s="3">
        <f>IF(Sheet1!K847, 1, 0)
</f>
        <v>0</v>
      </c>
      <c r="I839" s="1" t="s">
        <v>692</v>
      </c>
      <c r="K839" s="39" t="s">
        <v>693</v>
      </c>
      <c r="M839" s="39" t="s">
        <v>693</v>
      </c>
    </row>
    <row r="840">
      <c r="A840" s="1" t="s">
        <v>703</v>
      </c>
      <c r="C840" s="39" t="s">
        <v>691</v>
      </c>
      <c r="G840" s="39" t="s">
        <v>691</v>
      </c>
      <c r="H840" s="3">
        <f>IF(Sheet1!K848, 1, 0)
</f>
        <v>0</v>
      </c>
      <c r="I840" s="1" t="s">
        <v>692</v>
      </c>
      <c r="K840" s="39" t="s">
        <v>693</v>
      </c>
      <c r="M840" s="39" t="s">
        <v>693</v>
      </c>
    </row>
    <row r="841">
      <c r="A841" s="1" t="s">
        <v>703</v>
      </c>
      <c r="C841" s="39" t="s">
        <v>691</v>
      </c>
      <c r="G841" s="39" t="s">
        <v>691</v>
      </c>
      <c r="H841" s="3">
        <f>IF(Sheet1!K849, 1, 0)
</f>
        <v>0</v>
      </c>
      <c r="I841" s="1" t="s">
        <v>692</v>
      </c>
      <c r="K841" s="39" t="s">
        <v>693</v>
      </c>
      <c r="M841" s="39" t="s">
        <v>693</v>
      </c>
    </row>
    <row r="842">
      <c r="A842" s="1" t="s">
        <v>703</v>
      </c>
      <c r="C842" s="39" t="s">
        <v>691</v>
      </c>
      <c r="G842" s="39" t="s">
        <v>691</v>
      </c>
      <c r="H842" s="3">
        <f>IF(Sheet1!K850, 1, 0)
</f>
        <v>0</v>
      </c>
      <c r="I842" s="1" t="s">
        <v>692</v>
      </c>
      <c r="K842" s="39" t="s">
        <v>693</v>
      </c>
      <c r="M842" s="39" t="s">
        <v>693</v>
      </c>
    </row>
    <row r="843">
      <c r="A843" s="1" t="s">
        <v>703</v>
      </c>
      <c r="C843" s="39" t="s">
        <v>691</v>
      </c>
      <c r="G843" s="39" t="s">
        <v>691</v>
      </c>
      <c r="H843" s="3">
        <f>IF(Sheet1!K851, 1, 0)
</f>
        <v>0</v>
      </c>
      <c r="I843" s="1" t="s">
        <v>692</v>
      </c>
      <c r="K843" s="39" t="s">
        <v>693</v>
      </c>
      <c r="M843" s="39" t="s">
        <v>693</v>
      </c>
    </row>
    <row r="844">
      <c r="A844" s="1" t="s">
        <v>703</v>
      </c>
      <c r="C844" s="39" t="s">
        <v>691</v>
      </c>
      <c r="G844" s="39" t="s">
        <v>691</v>
      </c>
      <c r="H844" s="3">
        <f>IF(Sheet1!K852, 1, 0)
</f>
        <v>0</v>
      </c>
      <c r="I844" s="1" t="s">
        <v>692</v>
      </c>
      <c r="K844" s="39" t="s">
        <v>693</v>
      </c>
      <c r="M844" s="39" t="s">
        <v>693</v>
      </c>
    </row>
    <row r="845">
      <c r="A845" s="1" t="s">
        <v>703</v>
      </c>
      <c r="C845" s="39" t="s">
        <v>691</v>
      </c>
      <c r="G845" s="39" t="s">
        <v>691</v>
      </c>
      <c r="H845" s="3">
        <f>IF(Sheet1!K853, 1, 0)
</f>
        <v>0</v>
      </c>
      <c r="I845" s="1" t="s">
        <v>692</v>
      </c>
      <c r="K845" s="39" t="s">
        <v>693</v>
      </c>
      <c r="M845" s="39" t="s">
        <v>693</v>
      </c>
    </row>
    <row r="846">
      <c r="A846" s="1" t="s">
        <v>703</v>
      </c>
      <c r="C846" s="39" t="s">
        <v>691</v>
      </c>
      <c r="G846" s="39" t="s">
        <v>691</v>
      </c>
      <c r="H846" s="3">
        <f>IF(Sheet1!K854, 1, 0)
</f>
        <v>0</v>
      </c>
      <c r="I846" s="1" t="s">
        <v>692</v>
      </c>
      <c r="K846" s="39" t="s">
        <v>693</v>
      </c>
      <c r="M846" s="39" t="s">
        <v>693</v>
      </c>
    </row>
    <row r="847">
      <c r="A847" s="1" t="s">
        <v>703</v>
      </c>
      <c r="C847" s="39" t="s">
        <v>691</v>
      </c>
      <c r="G847" s="39" t="s">
        <v>691</v>
      </c>
      <c r="H847" s="3">
        <f>IF(Sheet1!K855, 1, 0)
</f>
        <v>0</v>
      </c>
      <c r="I847" s="1" t="s">
        <v>692</v>
      </c>
      <c r="K847" s="39" t="s">
        <v>693</v>
      </c>
      <c r="M847" s="39" t="s">
        <v>693</v>
      </c>
    </row>
    <row r="848">
      <c r="A848" s="1" t="s">
        <v>703</v>
      </c>
      <c r="C848" s="39" t="s">
        <v>691</v>
      </c>
      <c r="G848" s="39" t="s">
        <v>691</v>
      </c>
      <c r="H848" s="3">
        <f>IF(Sheet1!K856, 1, 0)
</f>
        <v>0</v>
      </c>
      <c r="I848" s="1" t="s">
        <v>692</v>
      </c>
      <c r="K848" s="39" t="s">
        <v>693</v>
      </c>
      <c r="M848" s="39" t="s">
        <v>693</v>
      </c>
    </row>
    <row r="849">
      <c r="A849" s="1" t="s">
        <v>703</v>
      </c>
      <c r="C849" s="39" t="s">
        <v>691</v>
      </c>
      <c r="G849" s="39" t="s">
        <v>691</v>
      </c>
      <c r="H849" s="3">
        <f>IF(Sheet1!K857, 1, 0)
</f>
        <v>0</v>
      </c>
      <c r="I849" s="1" t="s">
        <v>692</v>
      </c>
      <c r="K849" s="39" t="s">
        <v>693</v>
      </c>
      <c r="M849" s="39" t="s">
        <v>693</v>
      </c>
    </row>
    <row r="850">
      <c r="A850" s="1" t="s">
        <v>703</v>
      </c>
      <c r="C850" s="39" t="s">
        <v>691</v>
      </c>
      <c r="G850" s="39" t="s">
        <v>691</v>
      </c>
      <c r="H850" s="3">
        <f>IF(Sheet1!K858, 1, 0)
</f>
        <v>0</v>
      </c>
      <c r="I850" s="1" t="s">
        <v>692</v>
      </c>
      <c r="K850" s="39" t="s">
        <v>693</v>
      </c>
      <c r="M850" s="39" t="s">
        <v>693</v>
      </c>
    </row>
    <row r="851">
      <c r="A851" s="1" t="s">
        <v>703</v>
      </c>
      <c r="C851" s="39" t="s">
        <v>691</v>
      </c>
      <c r="G851" s="39" t="s">
        <v>691</v>
      </c>
      <c r="H851" s="3">
        <f>IF(Sheet1!K859, 1, 0)
</f>
        <v>0</v>
      </c>
      <c r="I851" s="1" t="s">
        <v>692</v>
      </c>
      <c r="K851" s="39" t="s">
        <v>693</v>
      </c>
      <c r="M851" s="39" t="s">
        <v>693</v>
      </c>
    </row>
    <row r="852">
      <c r="A852" s="1" t="s">
        <v>703</v>
      </c>
      <c r="C852" s="39" t="s">
        <v>691</v>
      </c>
      <c r="G852" s="39" t="s">
        <v>691</v>
      </c>
      <c r="H852" s="3">
        <f>IF(Sheet1!K860, 1, 0)
</f>
        <v>0</v>
      </c>
      <c r="I852" s="1" t="s">
        <v>692</v>
      </c>
      <c r="K852" s="39" t="s">
        <v>693</v>
      </c>
      <c r="M852" s="39" t="s">
        <v>693</v>
      </c>
    </row>
    <row r="853">
      <c r="A853" s="1" t="s">
        <v>703</v>
      </c>
      <c r="C853" s="39" t="s">
        <v>691</v>
      </c>
      <c r="G853" s="39" t="s">
        <v>691</v>
      </c>
      <c r="H853" s="3">
        <f>IF(Sheet1!K861, 1, 0)
</f>
        <v>0</v>
      </c>
      <c r="I853" s="1" t="s">
        <v>692</v>
      </c>
      <c r="K853" s="39" t="s">
        <v>693</v>
      </c>
      <c r="M853" s="39" t="s">
        <v>693</v>
      </c>
    </row>
    <row r="854">
      <c r="A854" s="1" t="s">
        <v>703</v>
      </c>
      <c r="C854" s="39" t="s">
        <v>691</v>
      </c>
      <c r="G854" s="39" t="s">
        <v>691</v>
      </c>
      <c r="H854" s="3">
        <f>IF(Sheet1!K862, 1, 0)
</f>
        <v>0</v>
      </c>
      <c r="I854" s="1" t="s">
        <v>692</v>
      </c>
      <c r="K854" s="39" t="s">
        <v>693</v>
      </c>
      <c r="M854" s="39" t="s">
        <v>693</v>
      </c>
    </row>
    <row r="855">
      <c r="A855" s="1" t="s">
        <v>703</v>
      </c>
      <c r="C855" s="39" t="s">
        <v>691</v>
      </c>
      <c r="G855" s="39" t="s">
        <v>691</v>
      </c>
      <c r="H855" s="3">
        <f>IF(Sheet1!K863, 1, 0)
</f>
        <v>0</v>
      </c>
      <c r="I855" s="1" t="s">
        <v>692</v>
      </c>
      <c r="K855" s="39" t="s">
        <v>693</v>
      </c>
      <c r="M855" s="39" t="s">
        <v>693</v>
      </c>
    </row>
    <row r="856">
      <c r="A856" s="1" t="s">
        <v>703</v>
      </c>
      <c r="C856" s="39" t="s">
        <v>691</v>
      </c>
      <c r="G856" s="39" t="s">
        <v>691</v>
      </c>
      <c r="H856" s="3">
        <f>IF(Sheet1!K864, 1, 0)
</f>
        <v>0</v>
      </c>
      <c r="I856" s="1" t="s">
        <v>692</v>
      </c>
      <c r="K856" s="39" t="s">
        <v>693</v>
      </c>
      <c r="M856" s="39" t="s">
        <v>693</v>
      </c>
    </row>
    <row r="857">
      <c r="A857" s="1" t="s">
        <v>703</v>
      </c>
      <c r="C857" s="39" t="s">
        <v>691</v>
      </c>
      <c r="G857" s="39" t="s">
        <v>691</v>
      </c>
      <c r="H857" s="3">
        <f>IF(Sheet1!K865, 1, 0)
</f>
        <v>0</v>
      </c>
      <c r="I857" s="1" t="s">
        <v>692</v>
      </c>
      <c r="K857" s="39" t="s">
        <v>693</v>
      </c>
      <c r="M857" s="39" t="s">
        <v>693</v>
      </c>
    </row>
    <row r="858">
      <c r="A858" s="1" t="s">
        <v>703</v>
      </c>
      <c r="C858" s="39" t="s">
        <v>691</v>
      </c>
      <c r="G858" s="39" t="s">
        <v>691</v>
      </c>
      <c r="H858" s="3">
        <f>IF(Sheet1!K866, 1, 0)
</f>
        <v>0</v>
      </c>
      <c r="I858" s="1" t="s">
        <v>692</v>
      </c>
      <c r="K858" s="39" t="s">
        <v>693</v>
      </c>
      <c r="M858" s="39" t="s">
        <v>693</v>
      </c>
    </row>
    <row r="859">
      <c r="A859" s="1" t="s">
        <v>703</v>
      </c>
      <c r="C859" s="39" t="s">
        <v>691</v>
      </c>
      <c r="G859" s="39" t="s">
        <v>691</v>
      </c>
      <c r="H859" s="3">
        <f>IF(Sheet1!K867, 1, 0)
</f>
        <v>0</v>
      </c>
      <c r="I859" s="1" t="s">
        <v>692</v>
      </c>
      <c r="K859" s="39" t="s">
        <v>693</v>
      </c>
      <c r="M859" s="39" t="s">
        <v>693</v>
      </c>
    </row>
    <row r="860">
      <c r="A860" s="1" t="s">
        <v>703</v>
      </c>
      <c r="C860" s="39" t="s">
        <v>691</v>
      </c>
      <c r="G860" s="39" t="s">
        <v>691</v>
      </c>
      <c r="H860" s="3">
        <f>IF(Sheet1!K868, 1, 0)
</f>
        <v>0</v>
      </c>
      <c r="I860" s="1" t="s">
        <v>692</v>
      </c>
      <c r="K860" s="39" t="s">
        <v>693</v>
      </c>
      <c r="M860" s="39" t="s">
        <v>693</v>
      </c>
    </row>
    <row r="861">
      <c r="A861" s="1" t="s">
        <v>703</v>
      </c>
      <c r="C861" s="39" t="s">
        <v>691</v>
      </c>
      <c r="G861" s="39" t="s">
        <v>691</v>
      </c>
      <c r="H861" s="3">
        <f>IF(Sheet1!K869, 1, 0)
</f>
        <v>0</v>
      </c>
      <c r="I861" s="1" t="s">
        <v>692</v>
      </c>
      <c r="K861" s="39" t="s">
        <v>693</v>
      </c>
      <c r="M861" s="39" t="s">
        <v>693</v>
      </c>
    </row>
    <row r="862">
      <c r="A862" s="1" t="s">
        <v>703</v>
      </c>
      <c r="C862" s="39" t="s">
        <v>691</v>
      </c>
      <c r="G862" s="39" t="s">
        <v>691</v>
      </c>
      <c r="H862" s="3">
        <f>IF(Sheet1!K870, 1, 0)
</f>
        <v>0</v>
      </c>
      <c r="I862" s="1" t="s">
        <v>692</v>
      </c>
      <c r="K862" s="39" t="s">
        <v>693</v>
      </c>
      <c r="M862" s="39" t="s">
        <v>693</v>
      </c>
    </row>
    <row r="863">
      <c r="A863" s="1" t="s">
        <v>703</v>
      </c>
      <c r="C863" s="39" t="s">
        <v>691</v>
      </c>
      <c r="G863" s="39" t="s">
        <v>691</v>
      </c>
      <c r="H863" s="3">
        <f>IF(Sheet1!K871, 1, 0)
</f>
        <v>0</v>
      </c>
      <c r="I863" s="1" t="s">
        <v>692</v>
      </c>
      <c r="K863" s="39" t="s">
        <v>693</v>
      </c>
      <c r="M863" s="39" t="s">
        <v>693</v>
      </c>
    </row>
    <row r="864">
      <c r="A864" s="1" t="s">
        <v>703</v>
      </c>
      <c r="C864" s="39" t="s">
        <v>691</v>
      </c>
      <c r="G864" s="39" t="s">
        <v>691</v>
      </c>
      <c r="H864" s="3">
        <f>IF(Sheet1!K872, 1, 0)
</f>
        <v>0</v>
      </c>
      <c r="I864" s="1" t="s">
        <v>692</v>
      </c>
      <c r="K864" s="39" t="s">
        <v>693</v>
      </c>
      <c r="M864" s="39" t="s">
        <v>693</v>
      </c>
    </row>
    <row r="865">
      <c r="A865" s="1" t="s">
        <v>703</v>
      </c>
      <c r="C865" s="39" t="s">
        <v>691</v>
      </c>
      <c r="G865" s="39" t="s">
        <v>691</v>
      </c>
      <c r="H865" s="3">
        <f>IF(Sheet1!K873, 1, 0)
</f>
        <v>0</v>
      </c>
      <c r="I865" s="1" t="s">
        <v>692</v>
      </c>
      <c r="K865" s="39" t="s">
        <v>693</v>
      </c>
      <c r="M865" s="39" t="s">
        <v>693</v>
      </c>
    </row>
    <row r="866">
      <c r="A866" s="1" t="s">
        <v>703</v>
      </c>
      <c r="C866" s="39" t="s">
        <v>691</v>
      </c>
      <c r="G866" s="39" t="s">
        <v>691</v>
      </c>
      <c r="H866" s="3">
        <f>IF(Sheet1!K874, 1, 0)
</f>
        <v>0</v>
      </c>
      <c r="I866" s="1" t="s">
        <v>692</v>
      </c>
      <c r="K866" s="39" t="s">
        <v>693</v>
      </c>
      <c r="M866" s="39" t="s">
        <v>693</v>
      </c>
    </row>
    <row r="867">
      <c r="A867" s="1" t="s">
        <v>703</v>
      </c>
      <c r="C867" s="39" t="s">
        <v>691</v>
      </c>
      <c r="G867" s="39" t="s">
        <v>691</v>
      </c>
      <c r="H867" s="3">
        <f>IF(Sheet1!K875, 1, 0)
</f>
        <v>0</v>
      </c>
      <c r="I867" s="1" t="s">
        <v>692</v>
      </c>
      <c r="K867" s="39" t="s">
        <v>693</v>
      </c>
      <c r="M867" s="39" t="s">
        <v>693</v>
      </c>
    </row>
    <row r="868">
      <c r="A868" s="1" t="s">
        <v>703</v>
      </c>
      <c r="C868" s="39" t="s">
        <v>691</v>
      </c>
      <c r="G868" s="39" t="s">
        <v>691</v>
      </c>
      <c r="H868" s="3">
        <f>IF(Sheet1!K876, 1, 0)
</f>
        <v>0</v>
      </c>
      <c r="I868" s="1" t="s">
        <v>692</v>
      </c>
      <c r="K868" s="39" t="s">
        <v>693</v>
      </c>
      <c r="M868" s="39" t="s">
        <v>693</v>
      </c>
    </row>
    <row r="869">
      <c r="A869" s="1" t="s">
        <v>703</v>
      </c>
      <c r="C869" s="39" t="s">
        <v>691</v>
      </c>
      <c r="G869" s="39" t="s">
        <v>691</v>
      </c>
      <c r="H869" s="3">
        <f>IF(Sheet1!K877, 1, 0)
</f>
        <v>0</v>
      </c>
      <c r="I869" s="1" t="s">
        <v>692</v>
      </c>
      <c r="K869" s="39" t="s">
        <v>693</v>
      </c>
      <c r="M869" s="39" t="s">
        <v>693</v>
      </c>
    </row>
    <row r="870">
      <c r="A870" s="1" t="s">
        <v>703</v>
      </c>
      <c r="C870" s="39" t="s">
        <v>691</v>
      </c>
      <c r="G870" s="39" t="s">
        <v>691</v>
      </c>
      <c r="H870" s="3">
        <f>IF(Sheet1!K878, 1, 0)
</f>
        <v>0</v>
      </c>
      <c r="I870" s="1" t="s">
        <v>692</v>
      </c>
      <c r="K870" s="39" t="s">
        <v>693</v>
      </c>
      <c r="M870" s="39" t="s">
        <v>693</v>
      </c>
    </row>
    <row r="871">
      <c r="A871" s="1" t="s">
        <v>703</v>
      </c>
      <c r="C871" s="39" t="s">
        <v>691</v>
      </c>
      <c r="G871" s="39" t="s">
        <v>691</v>
      </c>
      <c r="H871" s="3">
        <f>IF(Sheet1!K879, 1, 0)
</f>
        <v>0</v>
      </c>
      <c r="I871" s="1" t="s">
        <v>692</v>
      </c>
      <c r="K871" s="39" t="s">
        <v>693</v>
      </c>
      <c r="M871" s="39" t="s">
        <v>693</v>
      </c>
    </row>
    <row r="872">
      <c r="A872" s="1" t="s">
        <v>703</v>
      </c>
      <c r="C872" s="39" t="s">
        <v>691</v>
      </c>
      <c r="G872" s="39" t="s">
        <v>691</v>
      </c>
      <c r="H872" s="3">
        <f>IF(Sheet1!K880, 1, 0)
</f>
        <v>0</v>
      </c>
      <c r="I872" s="1" t="s">
        <v>692</v>
      </c>
      <c r="K872" s="39" t="s">
        <v>693</v>
      </c>
      <c r="M872" s="39" t="s">
        <v>693</v>
      </c>
    </row>
    <row r="873">
      <c r="A873" s="1" t="s">
        <v>703</v>
      </c>
      <c r="C873" s="39" t="s">
        <v>691</v>
      </c>
      <c r="G873" s="39" t="s">
        <v>691</v>
      </c>
      <c r="H873" s="3">
        <f>IF(Sheet1!K881, 1, 0)
</f>
        <v>0</v>
      </c>
      <c r="I873" s="1" t="s">
        <v>692</v>
      </c>
      <c r="K873" s="39" t="s">
        <v>693</v>
      </c>
      <c r="M873" s="39" t="s">
        <v>693</v>
      </c>
    </row>
    <row r="874">
      <c r="A874" s="1" t="s">
        <v>703</v>
      </c>
      <c r="C874" s="39" t="s">
        <v>691</v>
      </c>
      <c r="G874" s="39" t="s">
        <v>691</v>
      </c>
      <c r="H874" s="3">
        <f>IF(Sheet1!K882, 1, 0)
</f>
        <v>0</v>
      </c>
      <c r="I874" s="1" t="s">
        <v>692</v>
      </c>
      <c r="K874" s="39" t="s">
        <v>693</v>
      </c>
      <c r="M874" s="39" t="s">
        <v>693</v>
      </c>
    </row>
    <row r="875">
      <c r="A875" s="1" t="s">
        <v>703</v>
      </c>
      <c r="C875" s="39" t="s">
        <v>691</v>
      </c>
      <c r="G875" s="39" t="s">
        <v>691</v>
      </c>
      <c r="H875" s="3">
        <f>IF(Sheet1!K883, 1, 0)
</f>
        <v>0</v>
      </c>
      <c r="I875" s="1" t="s">
        <v>692</v>
      </c>
      <c r="K875" s="39" t="s">
        <v>693</v>
      </c>
      <c r="M875" s="39" t="s">
        <v>693</v>
      </c>
    </row>
    <row r="876">
      <c r="A876" s="1" t="s">
        <v>703</v>
      </c>
      <c r="C876" s="39" t="s">
        <v>691</v>
      </c>
      <c r="G876" s="39" t="s">
        <v>691</v>
      </c>
      <c r="H876" s="3">
        <f>IF(Sheet1!K884, 1, 0)
</f>
        <v>0</v>
      </c>
      <c r="I876" s="1" t="s">
        <v>692</v>
      </c>
      <c r="K876" s="39" t="s">
        <v>693</v>
      </c>
      <c r="M876" s="39" t="s">
        <v>693</v>
      </c>
    </row>
    <row r="877">
      <c r="A877" s="1" t="s">
        <v>703</v>
      </c>
      <c r="C877" s="39" t="s">
        <v>691</v>
      </c>
      <c r="G877" s="39" t="s">
        <v>691</v>
      </c>
      <c r="H877" s="3">
        <f>IF(Sheet1!K885, 1, 0)
</f>
        <v>0</v>
      </c>
      <c r="I877" s="1" t="s">
        <v>692</v>
      </c>
      <c r="K877" s="39" t="s">
        <v>693</v>
      </c>
      <c r="M877" s="39" t="s">
        <v>693</v>
      </c>
    </row>
    <row r="878">
      <c r="A878" s="1" t="s">
        <v>703</v>
      </c>
      <c r="C878" s="39" t="s">
        <v>691</v>
      </c>
      <c r="G878" s="39" t="s">
        <v>691</v>
      </c>
      <c r="H878" s="3">
        <f>IF(Sheet1!K886, 1, 0)
</f>
        <v>0</v>
      </c>
      <c r="I878" s="1" t="s">
        <v>692</v>
      </c>
      <c r="K878" s="39" t="s">
        <v>693</v>
      </c>
      <c r="M878" s="39" t="s">
        <v>693</v>
      </c>
    </row>
    <row r="879">
      <c r="A879" s="1" t="s">
        <v>703</v>
      </c>
      <c r="C879" s="39" t="s">
        <v>691</v>
      </c>
      <c r="G879" s="39" t="s">
        <v>691</v>
      </c>
      <c r="H879" s="3">
        <f>IF(Sheet1!K887, 1, 0)
</f>
        <v>0</v>
      </c>
      <c r="I879" s="1" t="s">
        <v>692</v>
      </c>
      <c r="K879" s="39" t="s">
        <v>693</v>
      </c>
      <c r="M879" s="39" t="s">
        <v>693</v>
      </c>
    </row>
    <row r="880">
      <c r="A880" s="1" t="s">
        <v>703</v>
      </c>
      <c r="C880" s="39" t="s">
        <v>691</v>
      </c>
      <c r="G880" s="39" t="s">
        <v>691</v>
      </c>
      <c r="H880" s="3">
        <f>IF(Sheet1!K888, 1, 0)
</f>
        <v>0</v>
      </c>
      <c r="I880" s="1" t="s">
        <v>692</v>
      </c>
      <c r="K880" s="39" t="s">
        <v>693</v>
      </c>
      <c r="M880" s="39" t="s">
        <v>693</v>
      </c>
    </row>
    <row r="881">
      <c r="A881" s="1" t="s">
        <v>703</v>
      </c>
      <c r="C881" s="39" t="s">
        <v>691</v>
      </c>
      <c r="G881" s="39" t="s">
        <v>691</v>
      </c>
      <c r="H881" s="3">
        <f>IF(Sheet1!K889, 1, 0)
</f>
        <v>0</v>
      </c>
      <c r="I881" s="1" t="s">
        <v>692</v>
      </c>
      <c r="K881" s="39" t="s">
        <v>693</v>
      </c>
      <c r="M881" s="39" t="s">
        <v>693</v>
      </c>
    </row>
    <row r="882">
      <c r="A882" s="1" t="s">
        <v>703</v>
      </c>
      <c r="C882" s="39" t="s">
        <v>691</v>
      </c>
      <c r="G882" s="39" t="s">
        <v>691</v>
      </c>
      <c r="H882" s="3">
        <f>IF(Sheet1!K890, 1, 0)
</f>
        <v>0</v>
      </c>
      <c r="I882" s="1" t="s">
        <v>692</v>
      </c>
      <c r="K882" s="39" t="s">
        <v>693</v>
      </c>
      <c r="M882" s="39" t="s">
        <v>693</v>
      </c>
    </row>
    <row r="883">
      <c r="A883" s="1" t="s">
        <v>703</v>
      </c>
      <c r="C883" s="39" t="s">
        <v>691</v>
      </c>
      <c r="G883" s="39" t="s">
        <v>691</v>
      </c>
      <c r="H883" s="3">
        <f>IF(Sheet1!K891, 1, 0)
</f>
        <v>0</v>
      </c>
      <c r="I883" s="1" t="s">
        <v>692</v>
      </c>
      <c r="K883" s="39" t="s">
        <v>693</v>
      </c>
      <c r="M883" s="39" t="s">
        <v>693</v>
      </c>
    </row>
    <row r="884">
      <c r="A884" s="1" t="s">
        <v>703</v>
      </c>
      <c r="C884" s="39" t="s">
        <v>691</v>
      </c>
      <c r="G884" s="39" t="s">
        <v>691</v>
      </c>
      <c r="H884" s="3">
        <f>IF(Sheet1!K892, 1, 0)
</f>
        <v>0</v>
      </c>
      <c r="I884" s="1" t="s">
        <v>692</v>
      </c>
      <c r="K884" s="39" t="s">
        <v>693</v>
      </c>
      <c r="M884" s="39" t="s">
        <v>693</v>
      </c>
    </row>
    <row r="885">
      <c r="A885" s="1" t="s">
        <v>703</v>
      </c>
      <c r="C885" s="39" t="s">
        <v>691</v>
      </c>
      <c r="G885" s="39" t="s">
        <v>691</v>
      </c>
      <c r="H885" s="3">
        <f>IF(Sheet1!K893, 1, 0)
</f>
        <v>0</v>
      </c>
      <c r="I885" s="1" t="s">
        <v>692</v>
      </c>
      <c r="K885" s="39" t="s">
        <v>693</v>
      </c>
      <c r="M885" s="39" t="s">
        <v>693</v>
      </c>
    </row>
    <row r="886">
      <c r="A886" s="1" t="s">
        <v>703</v>
      </c>
      <c r="C886" s="39" t="s">
        <v>691</v>
      </c>
      <c r="G886" s="39" t="s">
        <v>691</v>
      </c>
      <c r="H886" s="3">
        <f>IF(Sheet1!K894, 1, 0)
</f>
        <v>0</v>
      </c>
      <c r="I886" s="1" t="s">
        <v>692</v>
      </c>
      <c r="K886" s="39" t="s">
        <v>693</v>
      </c>
      <c r="M886" s="39" t="s">
        <v>693</v>
      </c>
    </row>
    <row r="887">
      <c r="A887" s="1" t="s">
        <v>703</v>
      </c>
      <c r="C887" s="39" t="s">
        <v>691</v>
      </c>
      <c r="G887" s="39" t="s">
        <v>691</v>
      </c>
      <c r="H887" s="3">
        <f>IF(Sheet1!K895, 1, 0)
</f>
        <v>0</v>
      </c>
      <c r="I887" s="1" t="s">
        <v>692</v>
      </c>
      <c r="K887" s="39" t="s">
        <v>693</v>
      </c>
      <c r="M887" s="39" t="s">
        <v>693</v>
      </c>
    </row>
    <row r="888">
      <c r="A888" s="1" t="s">
        <v>703</v>
      </c>
      <c r="C888" s="39" t="s">
        <v>691</v>
      </c>
      <c r="G888" s="39" t="s">
        <v>691</v>
      </c>
      <c r="H888" s="3">
        <f>IF(Sheet1!K896, 1, 0)
</f>
        <v>0</v>
      </c>
      <c r="I888" s="1" t="s">
        <v>692</v>
      </c>
      <c r="K888" s="39" t="s">
        <v>693</v>
      </c>
      <c r="M888" s="39" t="s">
        <v>693</v>
      </c>
    </row>
    <row r="889">
      <c r="A889" s="1" t="s">
        <v>703</v>
      </c>
      <c r="C889" s="39" t="s">
        <v>691</v>
      </c>
      <c r="G889" s="39" t="s">
        <v>691</v>
      </c>
      <c r="H889" s="3">
        <f>IF(Sheet1!K897, 1, 0)
</f>
        <v>0</v>
      </c>
      <c r="I889" s="1" t="s">
        <v>692</v>
      </c>
      <c r="K889" s="39" t="s">
        <v>693</v>
      </c>
      <c r="M889" s="39" t="s">
        <v>693</v>
      </c>
    </row>
    <row r="890">
      <c r="A890" s="1" t="s">
        <v>703</v>
      </c>
      <c r="C890" s="39" t="s">
        <v>691</v>
      </c>
      <c r="G890" s="39" t="s">
        <v>691</v>
      </c>
      <c r="H890" s="3">
        <f>IF(Sheet1!K898, 1, 0)
</f>
        <v>0</v>
      </c>
      <c r="I890" s="1" t="s">
        <v>692</v>
      </c>
      <c r="K890" s="39" t="s">
        <v>693</v>
      </c>
      <c r="M890" s="39" t="s">
        <v>693</v>
      </c>
    </row>
    <row r="891">
      <c r="A891" s="1" t="s">
        <v>703</v>
      </c>
      <c r="C891" s="39" t="s">
        <v>691</v>
      </c>
      <c r="G891" s="39" t="s">
        <v>691</v>
      </c>
      <c r="H891" s="3">
        <f>IF(Sheet1!K899, 1, 0)
</f>
        <v>0</v>
      </c>
      <c r="I891" s="1" t="s">
        <v>692</v>
      </c>
      <c r="K891" s="39" t="s">
        <v>693</v>
      </c>
      <c r="M891" s="39" t="s">
        <v>693</v>
      </c>
    </row>
    <row r="892">
      <c r="A892" s="1" t="s">
        <v>703</v>
      </c>
      <c r="C892" s="39" t="s">
        <v>691</v>
      </c>
      <c r="G892" s="39" t="s">
        <v>691</v>
      </c>
      <c r="H892" s="3">
        <f>IF(Sheet1!K900, 1, 0)
</f>
        <v>0</v>
      </c>
      <c r="I892" s="1" t="s">
        <v>692</v>
      </c>
      <c r="K892" s="39" t="s">
        <v>693</v>
      </c>
      <c r="M892" s="39" t="s">
        <v>693</v>
      </c>
    </row>
    <row r="893">
      <c r="A893" s="1" t="s">
        <v>703</v>
      </c>
      <c r="C893" s="39" t="s">
        <v>691</v>
      </c>
      <c r="G893" s="39" t="s">
        <v>691</v>
      </c>
      <c r="H893" s="3">
        <f>IF(Sheet1!K901, 1, 0)
</f>
        <v>0</v>
      </c>
      <c r="I893" s="1" t="s">
        <v>692</v>
      </c>
      <c r="K893" s="39" t="s">
        <v>693</v>
      </c>
      <c r="M893" s="39" t="s">
        <v>693</v>
      </c>
    </row>
    <row r="894">
      <c r="A894" s="1" t="s">
        <v>703</v>
      </c>
      <c r="C894" s="39" t="s">
        <v>691</v>
      </c>
      <c r="G894" s="39" t="s">
        <v>691</v>
      </c>
      <c r="H894" s="3">
        <f>IF(Sheet1!K902, 1, 0)
</f>
        <v>0</v>
      </c>
      <c r="I894" s="1" t="s">
        <v>692</v>
      </c>
      <c r="K894" s="39" t="s">
        <v>693</v>
      </c>
      <c r="M894" s="39" t="s">
        <v>693</v>
      </c>
    </row>
    <row r="895">
      <c r="A895" s="1" t="s">
        <v>703</v>
      </c>
      <c r="C895" s="39" t="s">
        <v>691</v>
      </c>
      <c r="G895" s="39" t="s">
        <v>691</v>
      </c>
      <c r="H895" s="3">
        <f>IF(Sheet1!K903, 1, 0)
</f>
        <v>0</v>
      </c>
      <c r="I895" s="1" t="s">
        <v>692</v>
      </c>
      <c r="K895" s="39" t="s">
        <v>693</v>
      </c>
      <c r="M895" s="39" t="s">
        <v>693</v>
      </c>
    </row>
    <row r="896">
      <c r="A896" s="1" t="s">
        <v>703</v>
      </c>
      <c r="C896" s="39" t="s">
        <v>691</v>
      </c>
      <c r="G896" s="39" t="s">
        <v>691</v>
      </c>
      <c r="H896" s="3">
        <f>IF(Sheet1!K904, 1, 0)
</f>
        <v>0</v>
      </c>
      <c r="I896" s="1" t="s">
        <v>692</v>
      </c>
      <c r="K896" s="39" t="s">
        <v>693</v>
      </c>
      <c r="M896" s="39" t="s">
        <v>693</v>
      </c>
    </row>
    <row r="897">
      <c r="A897" s="1" t="s">
        <v>703</v>
      </c>
      <c r="C897" s="39" t="s">
        <v>691</v>
      </c>
      <c r="G897" s="39" t="s">
        <v>691</v>
      </c>
      <c r="H897" s="3">
        <f>IF(Sheet1!K905, 1, 0)
</f>
        <v>0</v>
      </c>
      <c r="I897" s="1" t="s">
        <v>692</v>
      </c>
      <c r="K897" s="39" t="s">
        <v>693</v>
      </c>
      <c r="M897" s="39" t="s">
        <v>693</v>
      </c>
    </row>
    <row r="898">
      <c r="A898" s="1" t="s">
        <v>703</v>
      </c>
      <c r="C898" s="39" t="s">
        <v>691</v>
      </c>
      <c r="G898" s="39" t="s">
        <v>691</v>
      </c>
      <c r="H898" s="3">
        <f>IF(Sheet1!K906, 1, 0)
</f>
        <v>0</v>
      </c>
      <c r="I898" s="1" t="s">
        <v>692</v>
      </c>
      <c r="K898" s="39" t="s">
        <v>693</v>
      </c>
      <c r="M898" s="39" t="s">
        <v>693</v>
      </c>
    </row>
    <row r="899">
      <c r="A899" s="1" t="s">
        <v>703</v>
      </c>
      <c r="C899" s="39" t="s">
        <v>691</v>
      </c>
      <c r="G899" s="39" t="s">
        <v>691</v>
      </c>
      <c r="H899" s="3">
        <f>IF(Sheet1!K907, 1, 0)
</f>
        <v>0</v>
      </c>
      <c r="I899" s="1" t="s">
        <v>692</v>
      </c>
      <c r="K899" s="39" t="s">
        <v>693</v>
      </c>
      <c r="M899" s="39" t="s">
        <v>693</v>
      </c>
    </row>
    <row r="900">
      <c r="A900" s="1" t="s">
        <v>703</v>
      </c>
      <c r="C900" s="39" t="s">
        <v>691</v>
      </c>
      <c r="G900" s="39" t="s">
        <v>691</v>
      </c>
      <c r="H900" s="3">
        <f>IF(Sheet1!K908, 1, 0)
</f>
        <v>0</v>
      </c>
      <c r="I900" s="1" t="s">
        <v>692</v>
      </c>
      <c r="K900" s="39" t="s">
        <v>693</v>
      </c>
      <c r="M900" s="39" t="s">
        <v>693</v>
      </c>
    </row>
    <row r="901">
      <c r="A901" s="1" t="s">
        <v>703</v>
      </c>
      <c r="C901" s="39" t="s">
        <v>691</v>
      </c>
      <c r="G901" s="39" t="s">
        <v>691</v>
      </c>
      <c r="H901" s="3">
        <f>IF(Sheet1!K909, 1, 0)
</f>
        <v>0</v>
      </c>
      <c r="I901" s="1" t="s">
        <v>692</v>
      </c>
      <c r="K901" s="39" t="s">
        <v>693</v>
      </c>
      <c r="M901" s="39" t="s">
        <v>693</v>
      </c>
    </row>
    <row r="902">
      <c r="A902" s="1" t="s">
        <v>703</v>
      </c>
      <c r="C902" s="39" t="s">
        <v>691</v>
      </c>
      <c r="G902" s="39" t="s">
        <v>691</v>
      </c>
      <c r="H902" s="3">
        <f>IF(Sheet1!K910, 1, 0)
</f>
        <v>0</v>
      </c>
      <c r="I902" s="1" t="s">
        <v>692</v>
      </c>
      <c r="K902" s="39" t="s">
        <v>693</v>
      </c>
      <c r="M902" s="39" t="s">
        <v>693</v>
      </c>
    </row>
    <row r="903">
      <c r="A903" s="1" t="s">
        <v>703</v>
      </c>
      <c r="C903" s="39" t="s">
        <v>691</v>
      </c>
      <c r="G903" s="39" t="s">
        <v>691</v>
      </c>
      <c r="H903" s="3">
        <f>IF(Sheet1!K911, 1, 0)
</f>
        <v>0</v>
      </c>
      <c r="I903" s="1" t="s">
        <v>692</v>
      </c>
      <c r="K903" s="39" t="s">
        <v>693</v>
      </c>
      <c r="M903" s="39" t="s">
        <v>693</v>
      </c>
    </row>
    <row r="904">
      <c r="A904" s="1" t="s">
        <v>703</v>
      </c>
      <c r="C904" s="39" t="s">
        <v>691</v>
      </c>
      <c r="G904" s="39" t="s">
        <v>691</v>
      </c>
      <c r="H904" s="3">
        <f>IF(Sheet1!K912, 1, 0)
</f>
        <v>0</v>
      </c>
      <c r="I904" s="1" t="s">
        <v>692</v>
      </c>
      <c r="K904" s="39" t="s">
        <v>693</v>
      </c>
      <c r="M904" s="39" t="s">
        <v>693</v>
      </c>
    </row>
    <row r="905">
      <c r="A905" s="1" t="s">
        <v>703</v>
      </c>
      <c r="C905" s="39" t="s">
        <v>691</v>
      </c>
      <c r="G905" s="39" t="s">
        <v>691</v>
      </c>
      <c r="H905" s="3">
        <f>IF(Sheet1!K913, 1, 0)
</f>
        <v>0</v>
      </c>
      <c r="I905" s="1" t="s">
        <v>692</v>
      </c>
      <c r="K905" s="39" t="s">
        <v>693</v>
      </c>
      <c r="M905" s="39" t="s">
        <v>693</v>
      </c>
    </row>
    <row r="906">
      <c r="A906" s="1" t="s">
        <v>703</v>
      </c>
      <c r="C906" s="39" t="s">
        <v>691</v>
      </c>
      <c r="G906" s="39" t="s">
        <v>691</v>
      </c>
      <c r="H906" s="3">
        <f>IF(Sheet1!K914, 1, 0)
</f>
        <v>0</v>
      </c>
      <c r="I906" s="1" t="s">
        <v>692</v>
      </c>
      <c r="K906" s="39" t="s">
        <v>693</v>
      </c>
      <c r="M906" s="39" t="s">
        <v>693</v>
      </c>
    </row>
    <row r="907">
      <c r="A907" s="1" t="s">
        <v>703</v>
      </c>
      <c r="C907" s="39" t="s">
        <v>691</v>
      </c>
      <c r="G907" s="39" t="s">
        <v>691</v>
      </c>
      <c r="H907" s="3">
        <f>IF(Sheet1!K915, 1, 0)
</f>
        <v>0</v>
      </c>
      <c r="I907" s="1" t="s">
        <v>692</v>
      </c>
      <c r="K907" s="39" t="s">
        <v>693</v>
      </c>
      <c r="M907" s="39" t="s">
        <v>693</v>
      </c>
    </row>
    <row r="908">
      <c r="A908" s="1" t="s">
        <v>703</v>
      </c>
      <c r="C908" s="39" t="s">
        <v>691</v>
      </c>
      <c r="G908" s="39" t="s">
        <v>691</v>
      </c>
      <c r="H908" s="3">
        <f>IF(Sheet1!K916, 1, 0)
</f>
        <v>0</v>
      </c>
      <c r="I908" s="1" t="s">
        <v>692</v>
      </c>
      <c r="K908" s="39" t="s">
        <v>693</v>
      </c>
      <c r="M908" s="39" t="s">
        <v>693</v>
      </c>
    </row>
    <row r="909">
      <c r="A909" s="1" t="s">
        <v>703</v>
      </c>
      <c r="C909" s="39" t="s">
        <v>691</v>
      </c>
      <c r="G909" s="39" t="s">
        <v>691</v>
      </c>
      <c r="H909" s="3">
        <f>IF(Sheet1!K917, 1, 0)
</f>
        <v>0</v>
      </c>
      <c r="I909" s="1" t="s">
        <v>692</v>
      </c>
      <c r="K909" s="39" t="s">
        <v>693</v>
      </c>
      <c r="M909" s="39" t="s">
        <v>693</v>
      </c>
    </row>
    <row r="910">
      <c r="A910" s="1" t="s">
        <v>703</v>
      </c>
      <c r="C910" s="39" t="s">
        <v>691</v>
      </c>
      <c r="G910" s="39" t="s">
        <v>691</v>
      </c>
      <c r="H910" s="3">
        <f>IF(Sheet1!K918, 1, 0)
</f>
        <v>0</v>
      </c>
      <c r="I910" s="1" t="s">
        <v>692</v>
      </c>
      <c r="K910" s="39" t="s">
        <v>693</v>
      </c>
      <c r="M910" s="39" t="s">
        <v>693</v>
      </c>
    </row>
    <row r="911">
      <c r="A911" s="1" t="s">
        <v>703</v>
      </c>
      <c r="C911" s="39" t="s">
        <v>691</v>
      </c>
      <c r="G911" s="39" t="s">
        <v>691</v>
      </c>
      <c r="H911" s="3">
        <f>IF(Sheet1!K919, 1, 0)
</f>
        <v>0</v>
      </c>
      <c r="I911" s="1" t="s">
        <v>692</v>
      </c>
      <c r="K911" s="39" t="s">
        <v>693</v>
      </c>
      <c r="M911" s="39" t="s">
        <v>693</v>
      </c>
    </row>
    <row r="912">
      <c r="A912" s="1" t="s">
        <v>703</v>
      </c>
      <c r="C912" s="39" t="s">
        <v>691</v>
      </c>
      <c r="G912" s="39" t="s">
        <v>691</v>
      </c>
      <c r="H912" s="3">
        <f>IF(Sheet1!K920, 1, 0)
</f>
        <v>0</v>
      </c>
      <c r="I912" s="1" t="s">
        <v>692</v>
      </c>
      <c r="K912" s="39" t="s">
        <v>693</v>
      </c>
      <c r="M912" s="39" t="s">
        <v>693</v>
      </c>
    </row>
    <row r="913">
      <c r="A913" s="1" t="s">
        <v>703</v>
      </c>
      <c r="C913" s="39" t="s">
        <v>691</v>
      </c>
      <c r="G913" s="39" t="s">
        <v>691</v>
      </c>
      <c r="H913" s="3">
        <f>IF(Sheet1!K921, 1, 0)
</f>
        <v>0</v>
      </c>
      <c r="I913" s="1" t="s">
        <v>692</v>
      </c>
      <c r="K913" s="39" t="s">
        <v>693</v>
      </c>
      <c r="M913" s="39" t="s">
        <v>693</v>
      </c>
    </row>
    <row r="914">
      <c r="A914" s="1" t="s">
        <v>703</v>
      </c>
      <c r="C914" s="39" t="s">
        <v>691</v>
      </c>
      <c r="G914" s="39" t="s">
        <v>691</v>
      </c>
      <c r="H914" s="3">
        <f>IF(Sheet1!K922, 1, 0)
</f>
        <v>0</v>
      </c>
      <c r="I914" s="1" t="s">
        <v>692</v>
      </c>
      <c r="K914" s="39" t="s">
        <v>693</v>
      </c>
      <c r="M914" s="39" t="s">
        <v>693</v>
      </c>
    </row>
    <row r="915">
      <c r="A915" s="1" t="s">
        <v>703</v>
      </c>
      <c r="C915" s="39" t="s">
        <v>691</v>
      </c>
      <c r="G915" s="39" t="s">
        <v>691</v>
      </c>
      <c r="H915" s="3">
        <f>IF(Sheet1!K923, 1, 0)
</f>
        <v>0</v>
      </c>
      <c r="I915" s="1" t="s">
        <v>692</v>
      </c>
      <c r="K915" s="39" t="s">
        <v>693</v>
      </c>
      <c r="M915" s="39" t="s">
        <v>693</v>
      </c>
    </row>
    <row r="916">
      <c r="A916" s="1" t="s">
        <v>703</v>
      </c>
      <c r="C916" s="39" t="s">
        <v>691</v>
      </c>
      <c r="G916" s="39" t="s">
        <v>691</v>
      </c>
      <c r="H916" s="3">
        <f>IF(Sheet1!K924, 1, 0)
</f>
        <v>0</v>
      </c>
      <c r="I916" s="1" t="s">
        <v>692</v>
      </c>
      <c r="K916" s="39" t="s">
        <v>693</v>
      </c>
      <c r="M916" s="39" t="s">
        <v>693</v>
      </c>
    </row>
    <row r="917">
      <c r="A917" s="1" t="s">
        <v>703</v>
      </c>
      <c r="C917" s="39" t="s">
        <v>691</v>
      </c>
      <c r="G917" s="39" t="s">
        <v>691</v>
      </c>
      <c r="H917" s="3">
        <f>IF(Sheet1!K925, 1, 0)
</f>
        <v>0</v>
      </c>
      <c r="I917" s="1" t="s">
        <v>692</v>
      </c>
      <c r="K917" s="39" t="s">
        <v>693</v>
      </c>
      <c r="M917" s="39" t="s">
        <v>693</v>
      </c>
    </row>
    <row r="918">
      <c r="A918" s="1" t="s">
        <v>703</v>
      </c>
      <c r="C918" s="39" t="s">
        <v>691</v>
      </c>
      <c r="G918" s="39" t="s">
        <v>691</v>
      </c>
      <c r="H918" s="3">
        <f>IF(Sheet1!K926, 1, 0)
</f>
        <v>0</v>
      </c>
      <c r="I918" s="1" t="s">
        <v>692</v>
      </c>
      <c r="K918" s="39" t="s">
        <v>693</v>
      </c>
      <c r="M918" s="39" t="s">
        <v>693</v>
      </c>
    </row>
    <row r="919">
      <c r="A919" s="1" t="s">
        <v>703</v>
      </c>
      <c r="C919" s="39" t="s">
        <v>691</v>
      </c>
      <c r="G919" s="39" t="s">
        <v>691</v>
      </c>
      <c r="H919" s="3">
        <f>IF(Sheet1!K927, 1, 0)
</f>
        <v>0</v>
      </c>
      <c r="I919" s="1" t="s">
        <v>692</v>
      </c>
      <c r="K919" s="39" t="s">
        <v>693</v>
      </c>
      <c r="M919" s="39" t="s">
        <v>693</v>
      </c>
    </row>
    <row r="920">
      <c r="A920" s="1" t="s">
        <v>703</v>
      </c>
      <c r="C920" s="39" t="s">
        <v>691</v>
      </c>
      <c r="G920" s="39" t="s">
        <v>691</v>
      </c>
      <c r="H920" s="3">
        <f>IF(Sheet1!K928, 1, 0)
</f>
        <v>0</v>
      </c>
      <c r="I920" s="1" t="s">
        <v>692</v>
      </c>
      <c r="K920" s="39" t="s">
        <v>693</v>
      </c>
      <c r="M920" s="39" t="s">
        <v>693</v>
      </c>
    </row>
    <row r="921">
      <c r="A921" s="1" t="s">
        <v>703</v>
      </c>
      <c r="C921" s="39" t="s">
        <v>691</v>
      </c>
      <c r="G921" s="39" t="s">
        <v>691</v>
      </c>
      <c r="H921" s="3">
        <f>IF(Sheet1!K929, 1, 0)
</f>
        <v>0</v>
      </c>
      <c r="I921" s="1" t="s">
        <v>692</v>
      </c>
      <c r="K921" s="39" t="s">
        <v>693</v>
      </c>
      <c r="M921" s="39" t="s">
        <v>693</v>
      </c>
    </row>
    <row r="922">
      <c r="A922" s="1" t="s">
        <v>703</v>
      </c>
      <c r="C922" s="39" t="s">
        <v>691</v>
      </c>
      <c r="G922" s="39" t="s">
        <v>691</v>
      </c>
      <c r="H922" s="3">
        <f>IF(Sheet1!K930, 1, 0)
</f>
        <v>0</v>
      </c>
      <c r="I922" s="1" t="s">
        <v>692</v>
      </c>
      <c r="K922" s="39" t="s">
        <v>693</v>
      </c>
      <c r="M922" s="39" t="s">
        <v>693</v>
      </c>
    </row>
    <row r="923">
      <c r="A923" s="1" t="s">
        <v>703</v>
      </c>
      <c r="C923" s="39" t="s">
        <v>691</v>
      </c>
      <c r="G923" s="39" t="s">
        <v>691</v>
      </c>
      <c r="H923" s="3">
        <f>IF(Sheet1!K931, 1, 0)
</f>
        <v>0</v>
      </c>
      <c r="I923" s="1" t="s">
        <v>692</v>
      </c>
      <c r="K923" s="39" t="s">
        <v>693</v>
      </c>
      <c r="M923" s="39" t="s">
        <v>693</v>
      </c>
    </row>
    <row r="924">
      <c r="A924" s="1" t="s">
        <v>703</v>
      </c>
      <c r="C924" s="39" t="s">
        <v>691</v>
      </c>
      <c r="G924" s="39" t="s">
        <v>691</v>
      </c>
      <c r="H924" s="3">
        <f>IF(Sheet1!K932, 1, 0)
</f>
        <v>0</v>
      </c>
      <c r="I924" s="1" t="s">
        <v>692</v>
      </c>
      <c r="K924" s="39" t="s">
        <v>693</v>
      </c>
      <c r="M924" s="39" t="s">
        <v>693</v>
      </c>
    </row>
    <row r="925">
      <c r="A925" s="1" t="s">
        <v>703</v>
      </c>
      <c r="C925" s="39" t="s">
        <v>691</v>
      </c>
      <c r="G925" s="39" t="s">
        <v>691</v>
      </c>
      <c r="H925" s="3">
        <f>IF(Sheet1!K933, 1, 0)
</f>
        <v>0</v>
      </c>
      <c r="I925" s="1" t="s">
        <v>692</v>
      </c>
      <c r="K925" s="39" t="s">
        <v>693</v>
      </c>
      <c r="M925" s="39" t="s">
        <v>693</v>
      </c>
    </row>
    <row r="926">
      <c r="A926" s="1" t="s">
        <v>703</v>
      </c>
      <c r="C926" s="39" t="s">
        <v>691</v>
      </c>
      <c r="G926" s="39" t="s">
        <v>691</v>
      </c>
      <c r="H926" s="3">
        <f>IF(Sheet1!K934, 1, 0)
</f>
        <v>0</v>
      </c>
      <c r="I926" s="1" t="s">
        <v>692</v>
      </c>
      <c r="K926" s="39" t="s">
        <v>693</v>
      </c>
      <c r="M926" s="39" t="s">
        <v>693</v>
      </c>
    </row>
    <row r="927">
      <c r="A927" s="1" t="s">
        <v>703</v>
      </c>
      <c r="C927" s="39" t="s">
        <v>691</v>
      </c>
      <c r="G927" s="39" t="s">
        <v>691</v>
      </c>
      <c r="H927" s="3">
        <f>IF(Sheet1!K935, 1, 0)
</f>
        <v>0</v>
      </c>
      <c r="I927" s="1" t="s">
        <v>692</v>
      </c>
      <c r="K927" s="39" t="s">
        <v>693</v>
      </c>
      <c r="M927" s="39" t="s">
        <v>693</v>
      </c>
    </row>
    <row r="928">
      <c r="A928" s="1" t="s">
        <v>703</v>
      </c>
      <c r="C928" s="39" t="s">
        <v>691</v>
      </c>
      <c r="G928" s="39" t="s">
        <v>691</v>
      </c>
      <c r="H928" s="3">
        <f>IF(Sheet1!K936, 1, 0)
</f>
        <v>0</v>
      </c>
      <c r="I928" s="1" t="s">
        <v>692</v>
      </c>
      <c r="K928" s="39" t="s">
        <v>693</v>
      </c>
      <c r="M928" s="39" t="s">
        <v>693</v>
      </c>
    </row>
    <row r="929">
      <c r="A929" s="1" t="s">
        <v>703</v>
      </c>
      <c r="C929" s="39" t="s">
        <v>691</v>
      </c>
      <c r="G929" s="39" t="s">
        <v>691</v>
      </c>
      <c r="H929" s="3">
        <f>IF(Sheet1!K937, 1, 0)
</f>
        <v>0</v>
      </c>
      <c r="I929" s="1" t="s">
        <v>692</v>
      </c>
      <c r="K929" s="39" t="s">
        <v>693</v>
      </c>
      <c r="M929" s="39" t="s">
        <v>693</v>
      </c>
    </row>
    <row r="930">
      <c r="A930" s="1" t="s">
        <v>703</v>
      </c>
      <c r="C930" s="39" t="s">
        <v>691</v>
      </c>
      <c r="G930" s="39" t="s">
        <v>691</v>
      </c>
      <c r="H930" s="3">
        <f>IF(Sheet1!K938, 1, 0)
</f>
        <v>0</v>
      </c>
      <c r="I930" s="1" t="s">
        <v>692</v>
      </c>
      <c r="K930" s="39" t="s">
        <v>693</v>
      </c>
      <c r="M930" s="39" t="s">
        <v>693</v>
      </c>
    </row>
    <row r="931">
      <c r="A931" s="1" t="s">
        <v>703</v>
      </c>
      <c r="C931" s="39" t="s">
        <v>691</v>
      </c>
      <c r="G931" s="39" t="s">
        <v>691</v>
      </c>
      <c r="H931" s="3">
        <f>IF(Sheet1!K939, 1, 0)
</f>
        <v>0</v>
      </c>
      <c r="I931" s="1" t="s">
        <v>692</v>
      </c>
      <c r="K931" s="39" t="s">
        <v>693</v>
      </c>
      <c r="M931" s="39" t="s">
        <v>693</v>
      </c>
    </row>
    <row r="932">
      <c r="A932" s="1" t="s">
        <v>703</v>
      </c>
      <c r="C932" s="39" t="s">
        <v>691</v>
      </c>
      <c r="G932" s="39" t="s">
        <v>691</v>
      </c>
      <c r="H932" s="3">
        <f>IF(Sheet1!K940, 1, 0)
</f>
        <v>0</v>
      </c>
      <c r="I932" s="1" t="s">
        <v>692</v>
      </c>
      <c r="K932" s="39" t="s">
        <v>693</v>
      </c>
      <c r="M932" s="39" t="s">
        <v>693</v>
      </c>
    </row>
    <row r="933">
      <c r="A933" s="1" t="s">
        <v>703</v>
      </c>
      <c r="C933" s="39" t="s">
        <v>691</v>
      </c>
      <c r="G933" s="39" t="s">
        <v>691</v>
      </c>
      <c r="H933" s="3">
        <f>IF(Sheet1!K941, 1, 0)
</f>
        <v>0</v>
      </c>
      <c r="I933" s="1" t="s">
        <v>692</v>
      </c>
      <c r="K933" s="39" t="s">
        <v>693</v>
      </c>
      <c r="M933" s="39" t="s">
        <v>693</v>
      </c>
    </row>
    <row r="934">
      <c r="A934" s="1" t="s">
        <v>703</v>
      </c>
      <c r="C934" s="39" t="s">
        <v>691</v>
      </c>
      <c r="G934" s="39" t="s">
        <v>691</v>
      </c>
      <c r="H934" s="3">
        <f>IF(Sheet1!K942, 1, 0)
</f>
        <v>0</v>
      </c>
      <c r="I934" s="1" t="s">
        <v>692</v>
      </c>
      <c r="K934" s="39" t="s">
        <v>693</v>
      </c>
      <c r="M934" s="39" t="s">
        <v>693</v>
      </c>
    </row>
    <row r="935">
      <c r="A935" s="1" t="s">
        <v>703</v>
      </c>
      <c r="C935" s="39" t="s">
        <v>691</v>
      </c>
      <c r="G935" s="39" t="s">
        <v>691</v>
      </c>
      <c r="H935" s="3">
        <f>IF(Sheet1!K943, 1, 0)
</f>
        <v>0</v>
      </c>
      <c r="I935" s="1" t="s">
        <v>692</v>
      </c>
      <c r="K935" s="39" t="s">
        <v>693</v>
      </c>
      <c r="M935" s="39" t="s">
        <v>693</v>
      </c>
    </row>
    <row r="936">
      <c r="A936" s="1" t="s">
        <v>703</v>
      </c>
      <c r="C936" s="39" t="s">
        <v>691</v>
      </c>
      <c r="G936" s="39" t="s">
        <v>691</v>
      </c>
      <c r="H936" s="3">
        <f>IF(Sheet1!K944, 1, 0)
</f>
        <v>0</v>
      </c>
      <c r="I936" s="1" t="s">
        <v>692</v>
      </c>
      <c r="K936" s="39" t="s">
        <v>693</v>
      </c>
      <c r="M936" s="39" t="s">
        <v>693</v>
      </c>
    </row>
    <row r="937">
      <c r="A937" s="1" t="s">
        <v>703</v>
      </c>
      <c r="C937" s="39" t="s">
        <v>691</v>
      </c>
      <c r="G937" s="39" t="s">
        <v>691</v>
      </c>
      <c r="H937" s="3">
        <f>IF(Sheet1!K945, 1, 0)
</f>
        <v>0</v>
      </c>
      <c r="I937" s="1" t="s">
        <v>692</v>
      </c>
      <c r="K937" s="39" t="s">
        <v>693</v>
      </c>
      <c r="M937" s="39" t="s">
        <v>693</v>
      </c>
    </row>
    <row r="938">
      <c r="A938" s="1" t="s">
        <v>703</v>
      </c>
      <c r="C938" s="39" t="s">
        <v>691</v>
      </c>
      <c r="G938" s="39" t="s">
        <v>691</v>
      </c>
      <c r="H938" s="3">
        <f>IF(Sheet1!K946, 1, 0)
</f>
        <v>0</v>
      </c>
      <c r="I938" s="1" t="s">
        <v>692</v>
      </c>
      <c r="K938" s="39" t="s">
        <v>693</v>
      </c>
      <c r="M938" s="39" t="s">
        <v>693</v>
      </c>
    </row>
    <row r="939">
      <c r="A939" s="1" t="s">
        <v>703</v>
      </c>
      <c r="C939" s="39" t="s">
        <v>691</v>
      </c>
      <c r="G939" s="39" t="s">
        <v>691</v>
      </c>
      <c r="H939" s="3">
        <f>IF(Sheet1!K947, 1, 0)
</f>
        <v>0</v>
      </c>
      <c r="I939" s="1" t="s">
        <v>692</v>
      </c>
      <c r="K939" s="39" t="s">
        <v>693</v>
      </c>
      <c r="M939" s="39" t="s">
        <v>693</v>
      </c>
    </row>
    <row r="940">
      <c r="A940" s="1" t="s">
        <v>703</v>
      </c>
      <c r="C940" s="39" t="s">
        <v>691</v>
      </c>
      <c r="G940" s="39" t="s">
        <v>691</v>
      </c>
      <c r="H940" s="3">
        <f>IF(Sheet1!K948, 1, 0)
</f>
        <v>0</v>
      </c>
      <c r="I940" s="1" t="s">
        <v>692</v>
      </c>
      <c r="K940" s="39" t="s">
        <v>693</v>
      </c>
      <c r="M940" s="39" t="s">
        <v>693</v>
      </c>
    </row>
    <row r="941">
      <c r="A941" s="1" t="s">
        <v>703</v>
      </c>
      <c r="C941" s="39" t="s">
        <v>691</v>
      </c>
      <c r="G941" s="39" t="s">
        <v>691</v>
      </c>
      <c r="H941" s="3">
        <f>IF(Sheet1!K949, 1, 0)
</f>
        <v>0</v>
      </c>
      <c r="I941" s="1" t="s">
        <v>692</v>
      </c>
      <c r="K941" s="39" t="s">
        <v>693</v>
      </c>
      <c r="M941" s="39" t="s">
        <v>693</v>
      </c>
    </row>
    <row r="942">
      <c r="A942" s="1" t="s">
        <v>703</v>
      </c>
      <c r="C942" s="39" t="s">
        <v>691</v>
      </c>
      <c r="G942" s="39" t="s">
        <v>691</v>
      </c>
      <c r="H942" s="3">
        <f>IF(Sheet1!K950, 1, 0)
</f>
        <v>0</v>
      </c>
      <c r="I942" s="1" t="s">
        <v>692</v>
      </c>
      <c r="K942" s="39" t="s">
        <v>693</v>
      </c>
      <c r="M942" s="39" t="s">
        <v>693</v>
      </c>
    </row>
    <row r="943">
      <c r="A943" s="1" t="s">
        <v>703</v>
      </c>
      <c r="C943" s="39" t="s">
        <v>691</v>
      </c>
      <c r="G943" s="39" t="s">
        <v>691</v>
      </c>
      <c r="H943" s="3">
        <f>IF(Sheet1!K951, 1, 0)
</f>
        <v>0</v>
      </c>
      <c r="I943" s="1" t="s">
        <v>692</v>
      </c>
      <c r="K943" s="39" t="s">
        <v>693</v>
      </c>
      <c r="M943" s="39" t="s">
        <v>693</v>
      </c>
    </row>
    <row r="944">
      <c r="A944" s="1" t="s">
        <v>703</v>
      </c>
      <c r="C944" s="39" t="s">
        <v>691</v>
      </c>
      <c r="G944" s="39" t="s">
        <v>691</v>
      </c>
      <c r="H944" s="3">
        <f>IF(Sheet1!K952, 1, 0)
</f>
        <v>0</v>
      </c>
      <c r="I944" s="1" t="s">
        <v>692</v>
      </c>
      <c r="K944" s="39" t="s">
        <v>693</v>
      </c>
      <c r="M944" s="39" t="s">
        <v>693</v>
      </c>
    </row>
    <row r="945">
      <c r="A945" s="1" t="s">
        <v>703</v>
      </c>
      <c r="C945" s="39" t="s">
        <v>691</v>
      </c>
      <c r="G945" s="39" t="s">
        <v>691</v>
      </c>
      <c r="H945" s="3">
        <f>IF(Sheet1!K953, 1, 0)
</f>
        <v>0</v>
      </c>
      <c r="I945" s="1" t="s">
        <v>692</v>
      </c>
      <c r="K945" s="39" t="s">
        <v>693</v>
      </c>
      <c r="M945" s="39" t="s">
        <v>693</v>
      </c>
    </row>
    <row r="946">
      <c r="A946" s="1" t="s">
        <v>703</v>
      </c>
      <c r="C946" s="39" t="s">
        <v>691</v>
      </c>
      <c r="G946" s="39" t="s">
        <v>691</v>
      </c>
      <c r="H946" s="3">
        <f>IF(Sheet1!K954, 1, 0)
</f>
        <v>0</v>
      </c>
      <c r="I946" s="1" t="s">
        <v>692</v>
      </c>
      <c r="K946" s="39" t="s">
        <v>693</v>
      </c>
      <c r="M946" s="39" t="s">
        <v>693</v>
      </c>
    </row>
    <row r="947">
      <c r="A947" s="1" t="s">
        <v>703</v>
      </c>
      <c r="C947" s="39" t="s">
        <v>691</v>
      </c>
      <c r="G947" s="39" t="s">
        <v>691</v>
      </c>
      <c r="H947" s="3">
        <f>IF(Sheet1!K955, 1, 0)
</f>
        <v>0</v>
      </c>
      <c r="I947" s="1" t="s">
        <v>692</v>
      </c>
      <c r="K947" s="39" t="s">
        <v>693</v>
      </c>
      <c r="M947" s="39" t="s">
        <v>693</v>
      </c>
    </row>
    <row r="948">
      <c r="A948" s="1" t="s">
        <v>703</v>
      </c>
      <c r="C948" s="39" t="s">
        <v>691</v>
      </c>
      <c r="G948" s="39" t="s">
        <v>691</v>
      </c>
      <c r="H948" s="3">
        <f>IF(Sheet1!K956, 1, 0)
</f>
        <v>0</v>
      </c>
      <c r="I948" s="1" t="s">
        <v>692</v>
      </c>
      <c r="K948" s="39" t="s">
        <v>693</v>
      </c>
      <c r="M948" s="39" t="s">
        <v>693</v>
      </c>
    </row>
    <row r="949">
      <c r="A949" s="1" t="s">
        <v>703</v>
      </c>
      <c r="C949" s="39" t="s">
        <v>691</v>
      </c>
      <c r="G949" s="39" t="s">
        <v>691</v>
      </c>
      <c r="H949" s="3">
        <f>IF(Sheet1!K957, 1, 0)
</f>
        <v>0</v>
      </c>
      <c r="I949" s="1" t="s">
        <v>692</v>
      </c>
      <c r="K949" s="39" t="s">
        <v>693</v>
      </c>
      <c r="M949" s="39" t="s">
        <v>693</v>
      </c>
    </row>
    <row r="950">
      <c r="A950" s="1" t="s">
        <v>703</v>
      </c>
      <c r="C950" s="39" t="s">
        <v>691</v>
      </c>
      <c r="G950" s="39" t="s">
        <v>691</v>
      </c>
      <c r="H950" s="3">
        <f>IF(Sheet1!K958, 1, 0)
</f>
        <v>0</v>
      </c>
      <c r="I950" s="1" t="s">
        <v>692</v>
      </c>
      <c r="K950" s="39" t="s">
        <v>693</v>
      </c>
      <c r="M950" s="39" t="s">
        <v>693</v>
      </c>
    </row>
    <row r="951">
      <c r="A951" s="1" t="s">
        <v>703</v>
      </c>
      <c r="C951" s="39" t="s">
        <v>691</v>
      </c>
      <c r="G951" s="39" t="s">
        <v>691</v>
      </c>
      <c r="H951" s="3">
        <f>IF(Sheet1!K959, 1, 0)
</f>
        <v>0</v>
      </c>
      <c r="I951" s="1" t="s">
        <v>692</v>
      </c>
      <c r="K951" s="39" t="s">
        <v>693</v>
      </c>
      <c r="M951" s="39" t="s">
        <v>693</v>
      </c>
    </row>
    <row r="952">
      <c r="A952" s="1" t="s">
        <v>703</v>
      </c>
      <c r="C952" s="39" t="s">
        <v>691</v>
      </c>
      <c r="G952" s="39" t="s">
        <v>691</v>
      </c>
      <c r="H952" s="3">
        <f>IF(Sheet1!K960, 1, 0)
</f>
        <v>0</v>
      </c>
      <c r="I952" s="1" t="s">
        <v>692</v>
      </c>
      <c r="K952" s="39" t="s">
        <v>693</v>
      </c>
      <c r="M952" s="39" t="s">
        <v>693</v>
      </c>
    </row>
    <row r="953">
      <c r="A953" s="1" t="s">
        <v>703</v>
      </c>
      <c r="C953" s="39" t="s">
        <v>691</v>
      </c>
      <c r="G953" s="39" t="s">
        <v>691</v>
      </c>
      <c r="H953" s="3">
        <f>IF(Sheet1!K961, 1, 0)
</f>
        <v>0</v>
      </c>
      <c r="I953" s="1" t="s">
        <v>692</v>
      </c>
      <c r="K953" s="39" t="s">
        <v>693</v>
      </c>
      <c r="M953" s="39" t="s">
        <v>693</v>
      </c>
    </row>
    <row r="954">
      <c r="A954" s="1" t="s">
        <v>703</v>
      </c>
      <c r="C954" s="39" t="s">
        <v>691</v>
      </c>
      <c r="G954" s="39" t="s">
        <v>691</v>
      </c>
      <c r="H954" s="3">
        <f>IF(Sheet1!K962, 1, 0)
</f>
        <v>0</v>
      </c>
      <c r="I954" s="1" t="s">
        <v>692</v>
      </c>
      <c r="K954" s="39" t="s">
        <v>693</v>
      </c>
      <c r="M954" s="39" t="s">
        <v>693</v>
      </c>
    </row>
    <row r="955">
      <c r="A955" s="1" t="s">
        <v>703</v>
      </c>
      <c r="C955" s="39" t="s">
        <v>691</v>
      </c>
      <c r="G955" s="39" t="s">
        <v>691</v>
      </c>
      <c r="H955" s="3">
        <f>IF(Sheet1!K963, 1, 0)
</f>
        <v>0</v>
      </c>
      <c r="I955" s="1" t="s">
        <v>692</v>
      </c>
      <c r="K955" s="39" t="s">
        <v>693</v>
      </c>
      <c r="M955" s="39" t="s">
        <v>693</v>
      </c>
    </row>
    <row r="956">
      <c r="A956" s="1" t="s">
        <v>703</v>
      </c>
      <c r="C956" s="39" t="s">
        <v>691</v>
      </c>
      <c r="G956" s="39" t="s">
        <v>691</v>
      </c>
      <c r="H956" s="3">
        <f>IF(Sheet1!K964, 1, 0)
</f>
        <v>0</v>
      </c>
      <c r="I956" s="1" t="s">
        <v>692</v>
      </c>
      <c r="K956" s="39" t="s">
        <v>693</v>
      </c>
      <c r="M956" s="39" t="s">
        <v>693</v>
      </c>
    </row>
    <row r="957">
      <c r="A957" s="1" t="s">
        <v>703</v>
      </c>
      <c r="C957" s="39" t="s">
        <v>691</v>
      </c>
      <c r="G957" s="39" t="s">
        <v>691</v>
      </c>
      <c r="H957" s="3">
        <f>IF(Sheet1!K965, 1, 0)
</f>
        <v>0</v>
      </c>
      <c r="I957" s="1" t="s">
        <v>692</v>
      </c>
      <c r="K957" s="39" t="s">
        <v>693</v>
      </c>
      <c r="M957" s="39" t="s">
        <v>693</v>
      </c>
    </row>
    <row r="958">
      <c r="A958" s="1" t="s">
        <v>703</v>
      </c>
      <c r="C958" s="39" t="s">
        <v>691</v>
      </c>
      <c r="G958" s="39" t="s">
        <v>691</v>
      </c>
      <c r="H958" s="3">
        <f>IF(Sheet1!K966, 1, 0)
</f>
        <v>0</v>
      </c>
      <c r="I958" s="1" t="s">
        <v>692</v>
      </c>
      <c r="K958" s="39" t="s">
        <v>693</v>
      </c>
      <c r="M958" s="39" t="s">
        <v>693</v>
      </c>
    </row>
    <row r="959">
      <c r="A959" s="1" t="s">
        <v>703</v>
      </c>
      <c r="C959" s="39" t="s">
        <v>691</v>
      </c>
      <c r="G959" s="39" t="s">
        <v>691</v>
      </c>
      <c r="H959" s="3">
        <f>IF(Sheet1!K967, 1, 0)
</f>
        <v>0</v>
      </c>
      <c r="I959" s="1" t="s">
        <v>692</v>
      </c>
      <c r="K959" s="39" t="s">
        <v>693</v>
      </c>
      <c r="M959" s="39" t="s">
        <v>693</v>
      </c>
    </row>
    <row r="960">
      <c r="A960" s="1" t="s">
        <v>703</v>
      </c>
      <c r="C960" s="39" t="s">
        <v>691</v>
      </c>
      <c r="G960" s="39" t="s">
        <v>691</v>
      </c>
      <c r="H960" s="3">
        <f>IF(Sheet1!K968, 1, 0)
</f>
        <v>0</v>
      </c>
      <c r="I960" s="1" t="s">
        <v>692</v>
      </c>
      <c r="K960" s="39" t="s">
        <v>693</v>
      </c>
      <c r="M960" s="39" t="s">
        <v>693</v>
      </c>
    </row>
    <row r="961">
      <c r="A961" s="1" t="s">
        <v>703</v>
      </c>
      <c r="C961" s="39" t="s">
        <v>691</v>
      </c>
      <c r="G961" s="39" t="s">
        <v>691</v>
      </c>
      <c r="H961" s="3">
        <f>IF(Sheet1!K969, 1, 0)
</f>
        <v>0</v>
      </c>
      <c r="I961" s="1" t="s">
        <v>692</v>
      </c>
      <c r="K961" s="39" t="s">
        <v>693</v>
      </c>
      <c r="M961" s="39" t="s">
        <v>693</v>
      </c>
    </row>
    <row r="962">
      <c r="A962" s="1" t="s">
        <v>703</v>
      </c>
      <c r="C962" s="39" t="s">
        <v>691</v>
      </c>
      <c r="G962" s="39" t="s">
        <v>691</v>
      </c>
      <c r="H962" s="3">
        <f>IF(Sheet1!K970, 1, 0)
</f>
        <v>0</v>
      </c>
      <c r="I962" s="1" t="s">
        <v>692</v>
      </c>
      <c r="K962" s="39" t="s">
        <v>693</v>
      </c>
      <c r="M962" s="39" t="s">
        <v>693</v>
      </c>
    </row>
    <row r="963">
      <c r="A963" s="1" t="s">
        <v>703</v>
      </c>
      <c r="C963" s="39" t="s">
        <v>691</v>
      </c>
      <c r="G963" s="39" t="s">
        <v>691</v>
      </c>
      <c r="H963" s="3">
        <f>IF(Sheet1!K971, 1, 0)
</f>
        <v>0</v>
      </c>
      <c r="I963" s="1" t="s">
        <v>692</v>
      </c>
      <c r="K963" s="39" t="s">
        <v>693</v>
      </c>
      <c r="M963" s="39" t="s">
        <v>693</v>
      </c>
    </row>
    <row r="964">
      <c r="A964" s="1" t="s">
        <v>703</v>
      </c>
      <c r="C964" s="39" t="s">
        <v>691</v>
      </c>
      <c r="G964" s="39" t="s">
        <v>691</v>
      </c>
      <c r="H964" s="3">
        <f>IF(Sheet1!K972, 1, 0)
</f>
        <v>0</v>
      </c>
      <c r="I964" s="1" t="s">
        <v>692</v>
      </c>
      <c r="K964" s="39" t="s">
        <v>693</v>
      </c>
      <c r="M964" s="39" t="s">
        <v>693</v>
      </c>
    </row>
    <row r="965">
      <c r="A965" s="1" t="s">
        <v>703</v>
      </c>
      <c r="C965" s="39" t="s">
        <v>691</v>
      </c>
      <c r="G965" s="39" t="s">
        <v>691</v>
      </c>
      <c r="H965" s="3">
        <f>IF(Sheet1!K973, 1, 0)
</f>
        <v>0</v>
      </c>
      <c r="I965" s="1" t="s">
        <v>692</v>
      </c>
      <c r="K965" s="39" t="s">
        <v>693</v>
      </c>
      <c r="M965" s="39" t="s">
        <v>693</v>
      </c>
    </row>
    <row r="966">
      <c r="A966" s="1" t="s">
        <v>703</v>
      </c>
      <c r="C966" s="39" t="s">
        <v>691</v>
      </c>
      <c r="G966" s="39" t="s">
        <v>691</v>
      </c>
      <c r="H966" s="3">
        <f>IF(Sheet1!K974, 1, 0)
</f>
        <v>0</v>
      </c>
      <c r="I966" s="1" t="s">
        <v>692</v>
      </c>
      <c r="K966" s="39" t="s">
        <v>693</v>
      </c>
      <c r="M966" s="39" t="s">
        <v>693</v>
      </c>
    </row>
    <row r="967">
      <c r="A967" s="1" t="s">
        <v>703</v>
      </c>
      <c r="C967" s="39" t="s">
        <v>691</v>
      </c>
      <c r="G967" s="39" t="s">
        <v>691</v>
      </c>
      <c r="H967" s="3">
        <f>IF(Sheet1!K975, 1, 0)
</f>
        <v>0</v>
      </c>
      <c r="I967" s="1" t="s">
        <v>692</v>
      </c>
      <c r="K967" s="39" t="s">
        <v>693</v>
      </c>
      <c r="M967" s="39" t="s">
        <v>693</v>
      </c>
    </row>
    <row r="968">
      <c r="A968" s="1" t="s">
        <v>703</v>
      </c>
      <c r="C968" s="39" t="s">
        <v>691</v>
      </c>
      <c r="G968" s="39" t="s">
        <v>691</v>
      </c>
      <c r="H968" s="3">
        <f>IF(Sheet1!K976, 1, 0)
</f>
        <v>0</v>
      </c>
      <c r="I968" s="1" t="s">
        <v>692</v>
      </c>
      <c r="K968" s="39" t="s">
        <v>693</v>
      </c>
      <c r="M968" s="39" t="s">
        <v>693</v>
      </c>
    </row>
    <row r="969">
      <c r="A969" s="1" t="s">
        <v>703</v>
      </c>
      <c r="C969" s="39" t="s">
        <v>691</v>
      </c>
      <c r="G969" s="39" t="s">
        <v>691</v>
      </c>
      <c r="H969" s="3">
        <f>IF(Sheet1!K977, 1, 0)
</f>
        <v>0</v>
      </c>
      <c r="I969" s="1" t="s">
        <v>692</v>
      </c>
      <c r="K969" s="39" t="s">
        <v>693</v>
      </c>
      <c r="M969" s="39" t="s">
        <v>693</v>
      </c>
    </row>
    <row r="970">
      <c r="A970" s="1" t="s">
        <v>703</v>
      </c>
      <c r="C970" s="39" t="s">
        <v>691</v>
      </c>
      <c r="G970" s="39" t="s">
        <v>691</v>
      </c>
      <c r="H970" s="3">
        <f>IF(Sheet1!K978, 1, 0)
</f>
        <v>0</v>
      </c>
      <c r="I970" s="1" t="s">
        <v>692</v>
      </c>
      <c r="K970" s="39" t="s">
        <v>693</v>
      </c>
      <c r="M970" s="39" t="s">
        <v>693</v>
      </c>
    </row>
    <row r="971">
      <c r="A971" s="1" t="s">
        <v>703</v>
      </c>
      <c r="C971" s="39" t="s">
        <v>691</v>
      </c>
      <c r="G971" s="39" t="s">
        <v>691</v>
      </c>
      <c r="H971" s="3">
        <f>IF(Sheet1!K979, 1, 0)
</f>
        <v>0</v>
      </c>
      <c r="I971" s="1" t="s">
        <v>692</v>
      </c>
      <c r="K971" s="39" t="s">
        <v>693</v>
      </c>
      <c r="M971" s="39" t="s">
        <v>693</v>
      </c>
    </row>
    <row r="972">
      <c r="A972" s="1" t="s">
        <v>703</v>
      </c>
      <c r="C972" s="39" t="s">
        <v>691</v>
      </c>
      <c r="G972" s="39" t="s">
        <v>691</v>
      </c>
      <c r="H972" s="3">
        <f>IF(Sheet1!K980, 1, 0)
</f>
        <v>0</v>
      </c>
      <c r="I972" s="1" t="s">
        <v>692</v>
      </c>
      <c r="K972" s="39" t="s">
        <v>693</v>
      </c>
      <c r="M972" s="39" t="s">
        <v>693</v>
      </c>
    </row>
    <row r="973">
      <c r="A973" s="1" t="s">
        <v>703</v>
      </c>
      <c r="C973" s="39" t="s">
        <v>691</v>
      </c>
      <c r="G973" s="39" t="s">
        <v>691</v>
      </c>
      <c r="H973" s="3">
        <f>IF(Sheet1!K981, 1, 0)
</f>
        <v>0</v>
      </c>
      <c r="I973" s="1" t="s">
        <v>692</v>
      </c>
      <c r="K973" s="39" t="s">
        <v>693</v>
      </c>
      <c r="M973" s="39" t="s">
        <v>693</v>
      </c>
    </row>
    <row r="974">
      <c r="A974" s="1" t="s">
        <v>703</v>
      </c>
      <c r="C974" s="39" t="s">
        <v>691</v>
      </c>
      <c r="G974" s="39" t="s">
        <v>691</v>
      </c>
      <c r="H974" s="3">
        <f>IF(Sheet1!K982, 1, 0)
</f>
        <v>0</v>
      </c>
      <c r="I974" s="1" t="s">
        <v>692</v>
      </c>
      <c r="K974" s="39" t="s">
        <v>693</v>
      </c>
      <c r="M974" s="39" t="s">
        <v>693</v>
      </c>
    </row>
    <row r="975">
      <c r="A975" s="1" t="s">
        <v>703</v>
      </c>
      <c r="C975" s="39" t="s">
        <v>691</v>
      </c>
      <c r="G975" s="39" t="s">
        <v>691</v>
      </c>
      <c r="H975" s="3">
        <f>IF(Sheet1!K983, 1, 0)
</f>
        <v>0</v>
      </c>
      <c r="I975" s="1" t="s">
        <v>692</v>
      </c>
      <c r="K975" s="39" t="s">
        <v>693</v>
      </c>
      <c r="M975" s="39" t="s">
        <v>693</v>
      </c>
    </row>
    <row r="976">
      <c r="A976" s="1" t="s">
        <v>703</v>
      </c>
      <c r="C976" s="39" t="s">
        <v>691</v>
      </c>
      <c r="G976" s="39" t="s">
        <v>691</v>
      </c>
      <c r="H976" s="3">
        <f>IF(Sheet1!K984, 1, 0)
</f>
        <v>0</v>
      </c>
      <c r="I976" s="1" t="s">
        <v>692</v>
      </c>
      <c r="K976" s="39" t="s">
        <v>693</v>
      </c>
      <c r="M976" s="39" t="s">
        <v>693</v>
      </c>
    </row>
    <row r="977">
      <c r="A977" s="1" t="s">
        <v>703</v>
      </c>
      <c r="C977" s="39" t="s">
        <v>691</v>
      </c>
      <c r="G977" s="39" t="s">
        <v>691</v>
      </c>
      <c r="H977" s="3">
        <f>IF(Sheet1!K985, 1, 0)
</f>
        <v>0</v>
      </c>
      <c r="I977" s="1" t="s">
        <v>692</v>
      </c>
      <c r="K977" s="39" t="s">
        <v>693</v>
      </c>
      <c r="M977" s="39" t="s">
        <v>693</v>
      </c>
    </row>
    <row r="978">
      <c r="A978" s="1" t="s">
        <v>703</v>
      </c>
      <c r="C978" s="39" t="s">
        <v>691</v>
      </c>
      <c r="G978" s="39" t="s">
        <v>691</v>
      </c>
      <c r="H978" s="3">
        <f>IF(Sheet1!K986, 1, 0)
</f>
        <v>0</v>
      </c>
      <c r="I978" s="1" t="s">
        <v>692</v>
      </c>
      <c r="K978" s="39" t="s">
        <v>693</v>
      </c>
      <c r="M978" s="39" t="s">
        <v>693</v>
      </c>
    </row>
    <row r="979">
      <c r="A979" s="1" t="s">
        <v>703</v>
      </c>
      <c r="C979" s="39" t="s">
        <v>691</v>
      </c>
      <c r="G979" s="39" t="s">
        <v>691</v>
      </c>
      <c r="H979" s="3">
        <f>IF(Sheet1!K987, 1, 0)
</f>
        <v>0</v>
      </c>
      <c r="I979" s="1" t="s">
        <v>692</v>
      </c>
      <c r="K979" s="39" t="s">
        <v>693</v>
      </c>
      <c r="M979" s="39" t="s">
        <v>693</v>
      </c>
    </row>
    <row r="980">
      <c r="A980" s="1" t="s">
        <v>703</v>
      </c>
      <c r="C980" s="39" t="s">
        <v>691</v>
      </c>
      <c r="G980" s="39" t="s">
        <v>691</v>
      </c>
      <c r="H980" s="3">
        <f>IF(Sheet1!K988, 1, 0)
</f>
        <v>0</v>
      </c>
      <c r="I980" s="1" t="s">
        <v>692</v>
      </c>
      <c r="K980" s="39" t="s">
        <v>693</v>
      </c>
      <c r="M980" s="39" t="s">
        <v>693</v>
      </c>
    </row>
    <row r="981">
      <c r="A981" s="1" t="s">
        <v>703</v>
      </c>
      <c r="C981" s="39" t="s">
        <v>691</v>
      </c>
      <c r="G981" s="39" t="s">
        <v>691</v>
      </c>
      <c r="H981" s="3">
        <f>IF(Sheet1!K989, 1, 0)
</f>
        <v>0</v>
      </c>
      <c r="I981" s="1" t="s">
        <v>692</v>
      </c>
      <c r="K981" s="39" t="s">
        <v>693</v>
      </c>
      <c r="M981" s="39" t="s">
        <v>693</v>
      </c>
    </row>
    <row r="982">
      <c r="A982" s="1" t="s">
        <v>703</v>
      </c>
      <c r="C982" s="39" t="s">
        <v>691</v>
      </c>
      <c r="G982" s="39" t="s">
        <v>691</v>
      </c>
      <c r="H982" s="3">
        <f>IF(Sheet1!K990, 1, 0)
</f>
        <v>0</v>
      </c>
      <c r="I982" s="1" t="s">
        <v>692</v>
      </c>
      <c r="K982" s="39" t="s">
        <v>693</v>
      </c>
      <c r="M982" s="39" t="s">
        <v>693</v>
      </c>
    </row>
    <row r="983">
      <c r="A983" s="1" t="s">
        <v>703</v>
      </c>
      <c r="C983" s="39" t="s">
        <v>691</v>
      </c>
      <c r="G983" s="39" t="s">
        <v>691</v>
      </c>
      <c r="H983" s="3">
        <f>IF(Sheet1!K991, 1, 0)
</f>
        <v>0</v>
      </c>
      <c r="I983" s="1" t="s">
        <v>692</v>
      </c>
      <c r="K983" s="39" t="s">
        <v>693</v>
      </c>
      <c r="M983" s="39" t="s">
        <v>693</v>
      </c>
    </row>
    <row r="984">
      <c r="A984" s="1" t="s">
        <v>703</v>
      </c>
      <c r="C984" s="39" t="s">
        <v>691</v>
      </c>
      <c r="G984" s="39" t="s">
        <v>691</v>
      </c>
      <c r="H984" s="3">
        <f>IF(Sheet1!K992, 1, 0)
</f>
        <v>0</v>
      </c>
      <c r="I984" s="1" t="s">
        <v>692</v>
      </c>
      <c r="K984" s="39" t="s">
        <v>693</v>
      </c>
      <c r="M984" s="39" t="s">
        <v>693</v>
      </c>
    </row>
    <row r="985">
      <c r="A985" s="1" t="s">
        <v>703</v>
      </c>
      <c r="C985" s="39" t="s">
        <v>691</v>
      </c>
      <c r="G985" s="39" t="s">
        <v>691</v>
      </c>
      <c r="H985" s="3">
        <f>IF(Sheet1!K993, 1, 0)
</f>
        <v>0</v>
      </c>
      <c r="I985" s="1" t="s">
        <v>692</v>
      </c>
      <c r="K985" s="39" t="s">
        <v>693</v>
      </c>
      <c r="M985" s="39" t="s">
        <v>693</v>
      </c>
    </row>
    <row r="986">
      <c r="A986" s="1" t="s">
        <v>703</v>
      </c>
      <c r="C986" s="39" t="s">
        <v>691</v>
      </c>
      <c r="G986" s="39" t="s">
        <v>691</v>
      </c>
      <c r="H986" s="3">
        <f>IF(Sheet1!K994, 1, 0)
</f>
        <v>0</v>
      </c>
      <c r="I986" s="1" t="s">
        <v>692</v>
      </c>
      <c r="K986" s="39" t="s">
        <v>693</v>
      </c>
      <c r="M986" s="39" t="s">
        <v>693</v>
      </c>
    </row>
    <row r="987">
      <c r="A987" s="1" t="s">
        <v>703</v>
      </c>
      <c r="C987" s="39" t="s">
        <v>691</v>
      </c>
      <c r="G987" s="39" t="s">
        <v>691</v>
      </c>
      <c r="H987" s="3">
        <f>IF(Sheet1!K995, 1, 0)
</f>
        <v>0</v>
      </c>
      <c r="I987" s="1" t="s">
        <v>692</v>
      </c>
      <c r="K987" s="39" t="s">
        <v>693</v>
      </c>
      <c r="M987" s="39" t="s">
        <v>693</v>
      </c>
    </row>
    <row r="988">
      <c r="A988" s="1" t="s">
        <v>703</v>
      </c>
      <c r="C988" s="39" t="s">
        <v>691</v>
      </c>
      <c r="G988" s="39" t="s">
        <v>691</v>
      </c>
      <c r="H988" s="3">
        <f>IF(Sheet1!K996, 1, 0)
</f>
        <v>0</v>
      </c>
      <c r="I988" s="1" t="s">
        <v>692</v>
      </c>
      <c r="K988" s="39" t="s">
        <v>693</v>
      </c>
      <c r="M988" s="39" t="s">
        <v>693</v>
      </c>
    </row>
    <row r="989">
      <c r="A989" s="1" t="s">
        <v>703</v>
      </c>
      <c r="C989" s="39" t="s">
        <v>691</v>
      </c>
      <c r="G989" s="39" t="s">
        <v>691</v>
      </c>
      <c r="H989" s="3">
        <f>IF(Sheet1!K997, 1, 0)
</f>
        <v>0</v>
      </c>
      <c r="I989" s="1" t="s">
        <v>692</v>
      </c>
      <c r="K989" s="39" t="s">
        <v>693</v>
      </c>
      <c r="M989" s="39" t="s">
        <v>693</v>
      </c>
    </row>
    <row r="990">
      <c r="A990" s="1" t="s">
        <v>703</v>
      </c>
      <c r="C990" s="39" t="s">
        <v>691</v>
      </c>
      <c r="G990" s="39" t="s">
        <v>691</v>
      </c>
      <c r="H990" s="3">
        <f>IF(Sheet1!K998, 1, 0)
</f>
        <v>0</v>
      </c>
      <c r="I990" s="1" t="s">
        <v>692</v>
      </c>
      <c r="K990" s="39" t="s">
        <v>693</v>
      </c>
      <c r="M990" s="39" t="s">
        <v>693</v>
      </c>
    </row>
    <row r="991">
      <c r="A991" s="1" t="s">
        <v>703</v>
      </c>
      <c r="C991" s="39" t="s">
        <v>691</v>
      </c>
      <c r="G991" s="39" t="s">
        <v>691</v>
      </c>
      <c r="H991" s="3">
        <f>IF(Sheet1!K999, 1, 0)
</f>
        <v>0</v>
      </c>
      <c r="I991" s="1" t="s">
        <v>692</v>
      </c>
      <c r="K991" s="39" t="s">
        <v>693</v>
      </c>
      <c r="M991" s="39" t="s">
        <v>693</v>
      </c>
    </row>
    <row r="992">
      <c r="A992" s="1" t="s">
        <v>703</v>
      </c>
      <c r="C992" s="39" t="s">
        <v>691</v>
      </c>
      <c r="G992" s="39" t="s">
        <v>691</v>
      </c>
      <c r="H992" s="3">
        <f>IF(Sheet1!K1000, 1, 0)
</f>
        <v>0</v>
      </c>
      <c r="I992" s="1" t="s">
        <v>692</v>
      </c>
      <c r="K992" s="39" t="s">
        <v>693</v>
      </c>
      <c r="M992" s="39" t="s">
        <v>693</v>
      </c>
    </row>
    <row r="993">
      <c r="A993" s="1" t="s">
        <v>703</v>
      </c>
      <c r="C993" s="39" t="s">
        <v>691</v>
      </c>
      <c r="G993" s="39" t="s">
        <v>691</v>
      </c>
      <c r="H993" s="3">
        <f>IF(Sheet1!K1001, 1, 0)
</f>
        <v>0</v>
      </c>
      <c r="I993" s="1" t="s">
        <v>692</v>
      </c>
      <c r="K993" s="39" t="s">
        <v>693</v>
      </c>
      <c r="M993" s="39" t="s">
        <v>693</v>
      </c>
    </row>
    <row r="994">
      <c r="A994" s="1" t="s">
        <v>703</v>
      </c>
      <c r="C994" s="39" t="s">
        <v>691</v>
      </c>
      <c r="G994" s="39" t="s">
        <v>691</v>
      </c>
      <c r="H994" s="3">
        <f>IF(Sheet1!K1002, 1, 0)
</f>
        <v>0</v>
      </c>
      <c r="I994" s="1" t="s">
        <v>692</v>
      </c>
      <c r="K994" s="39" t="s">
        <v>693</v>
      </c>
      <c r="M994" s="39" t="s">
        <v>693</v>
      </c>
    </row>
    <row r="995">
      <c r="A995" s="1" t="s">
        <v>703</v>
      </c>
      <c r="C995" s="39" t="s">
        <v>691</v>
      </c>
      <c r="G995" s="39" t="s">
        <v>691</v>
      </c>
      <c r="H995" s="3">
        <f>IF(Sheet1!K1003, 1, 0)
</f>
        <v>0</v>
      </c>
      <c r="I995" s="1" t="s">
        <v>692</v>
      </c>
      <c r="K995" s="39" t="s">
        <v>693</v>
      </c>
      <c r="M995" s="39" t="s">
        <v>693</v>
      </c>
    </row>
    <row r="996">
      <c r="A996" s="1" t="s">
        <v>703</v>
      </c>
      <c r="C996" s="39" t="s">
        <v>691</v>
      </c>
      <c r="G996" s="39" t="s">
        <v>691</v>
      </c>
      <c r="H996" s="3">
        <f>IF(Sheet1!K1004, 1, 0)
</f>
        <v>0</v>
      </c>
      <c r="I996" s="1" t="s">
        <v>692</v>
      </c>
      <c r="K996" s="39" t="s">
        <v>693</v>
      </c>
      <c r="M996" s="39" t="s">
        <v>693</v>
      </c>
    </row>
    <row r="997">
      <c r="A997" s="1" t="s">
        <v>703</v>
      </c>
      <c r="C997" s="39" t="s">
        <v>691</v>
      </c>
      <c r="G997" s="39" t="s">
        <v>691</v>
      </c>
      <c r="H997" s="3">
        <f>IF(Sheet1!K1005, 1, 0)
</f>
        <v>0</v>
      </c>
      <c r="I997" s="1" t="s">
        <v>692</v>
      </c>
      <c r="K997" s="39" t="s">
        <v>693</v>
      </c>
      <c r="M997" s="39" t="s">
        <v>693</v>
      </c>
    </row>
    <row r="998">
      <c r="A998" s="1" t="s">
        <v>703</v>
      </c>
      <c r="C998" s="39" t="s">
        <v>691</v>
      </c>
      <c r="G998" s="39" t="s">
        <v>691</v>
      </c>
      <c r="H998" s="3">
        <f>IF(Sheet1!K1006, 1, 0)
</f>
        <v>0</v>
      </c>
      <c r="I998" s="1" t="s">
        <v>692</v>
      </c>
      <c r="K998" s="39" t="s">
        <v>693</v>
      </c>
      <c r="M998" s="39" t="s">
        <v>693</v>
      </c>
    </row>
    <row r="999">
      <c r="A999" s="1" t="s">
        <v>703</v>
      </c>
      <c r="C999" s="39" t="s">
        <v>691</v>
      </c>
      <c r="G999" s="39" t="s">
        <v>691</v>
      </c>
      <c r="H999" s="3">
        <f>IF(Sheet1!K1007, 1, 0)
</f>
        <v>0</v>
      </c>
      <c r="I999" s="1" t="s">
        <v>692</v>
      </c>
      <c r="K999" s="39" t="s">
        <v>693</v>
      </c>
      <c r="M999" s="39" t="s">
        <v>693</v>
      </c>
    </row>
    <row r="1000">
      <c r="A1000" s="1" t="s">
        <v>703</v>
      </c>
      <c r="C1000" s="39" t="s">
        <v>691</v>
      </c>
      <c r="G1000" s="39" t="s">
        <v>691</v>
      </c>
      <c r="H1000" s="3">
        <f>IF(Sheet1!K1008, 1, 0)
</f>
        <v>0</v>
      </c>
      <c r="I1000" s="1" t="s">
        <v>692</v>
      </c>
      <c r="K1000" s="39" t="s">
        <v>693</v>
      </c>
      <c r="M1000" s="39" t="s">
        <v>693</v>
      </c>
    </row>
  </sheetData>
  <drawing r:id="rId1"/>
</worksheet>
</file>